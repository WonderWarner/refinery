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bmeedu-my.sharepoint.com/personal/tomoripeter_edu_bme_hu/Documents/TomoriPeterMOEAxRefinery/measurement_2/"/>
    </mc:Choice>
  </mc:AlternateContent>
  <xr:revisionPtr revIDLastSave="642" documentId="11_AD4D6204247ACDAA4110B40641D6C604683EDF1B" xr6:coauthVersionLast="47" xr6:coauthVersionMax="47" xr10:uidLastSave="{8DBB3A75-C734-43FE-BB4A-91DB49A83B99}"/>
  <bookViews>
    <workbookView xWindow="-108" yWindow="-108" windowWidth="23256" windowHeight="12456" activeTab="3" xr2:uid="{00000000-000D-0000-FFFF-FFFF00000000}"/>
  </bookViews>
  <sheets>
    <sheet name="soc_min_eval" sheetId="14" r:id="rId1"/>
    <sheet name="soc_max_eval" sheetId="17" r:id="rId2"/>
    <sheet name="cra_eval" sheetId="12" r:id="rId3"/>
    <sheet name="eval" sheetId="20" r:id="rId4"/>
    <sheet name="variation_metrics" sheetId="10" r:id="rId5"/>
    <sheet name="pareto_cra" sheetId="18" r:id="rId6"/>
    <sheet name="result_population_numbers" sheetId="19" r:id="rId7"/>
    <sheet name="result_population" sheetId="7" r:id="rId8"/>
  </sheets>
  <definedNames>
    <definedName name="ExternalData_4" localSheetId="5" hidden="1">pareto_cra!$B$1:$G$93</definedName>
    <definedName name="ExternalData_4" localSheetId="7" hidden="1">result_population!$Q$2:$X$94</definedName>
    <definedName name="ExternalData_4" localSheetId="4" hidden="1">variation_metrics!$A$29:$I$38</definedName>
    <definedName name="ExternalData_5" localSheetId="2" hidden="1">cra_eval!$A$1:$F$30</definedName>
    <definedName name="ExternalData_5" localSheetId="3" hidden="1">eval!$A$1:$F$30</definedName>
    <definedName name="ExternalData_5" localSheetId="4" hidden="1">variation_metrics!$A$5:$I$14</definedName>
    <definedName name="ExternalData_6" localSheetId="0" hidden="1">soc_min_eval!$A$1:$F$16</definedName>
    <definedName name="ExternalData_6" localSheetId="4" hidden="1">variation_metrics!$A$17:$I$26</definedName>
    <definedName name="ExternalData_7" localSheetId="7" hidden="1">result_population!$A$2:$F$102</definedName>
    <definedName name="ExternalData_7" localSheetId="1" hidden="1">soc_max_eval!$A$1:$F$21</definedName>
    <definedName name="ExternalData_8" localSheetId="7" hidden="1">result_population!$I$2:$N$96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" i="20" l="1"/>
  <c r="P35" i="20"/>
  <c r="Q35" i="20"/>
  <c r="R35" i="20"/>
  <c r="T35" i="20"/>
  <c r="P36" i="20"/>
  <c r="Q36" i="20"/>
  <c r="R36" i="20"/>
  <c r="T36" i="20"/>
  <c r="P37" i="20"/>
  <c r="Q37" i="20"/>
  <c r="R37" i="20"/>
  <c r="T37" i="20"/>
  <c r="P38" i="20"/>
  <c r="Q38" i="20"/>
  <c r="R38" i="20"/>
  <c r="T38" i="20"/>
  <c r="P39" i="20"/>
  <c r="Q39" i="20"/>
  <c r="R39" i="20"/>
  <c r="T39" i="20"/>
  <c r="P40" i="20"/>
  <c r="Q40" i="20"/>
  <c r="R40" i="20"/>
  <c r="T40" i="20"/>
  <c r="P41" i="20"/>
  <c r="Q41" i="20"/>
  <c r="R41" i="20"/>
  <c r="T41" i="20"/>
  <c r="P42" i="20"/>
  <c r="Q42" i="20"/>
  <c r="R42" i="20"/>
  <c r="T42" i="20"/>
  <c r="P43" i="20"/>
  <c r="Q43" i="20"/>
  <c r="R43" i="20"/>
  <c r="T43" i="20"/>
  <c r="P44" i="20"/>
  <c r="Q44" i="20"/>
  <c r="R44" i="20"/>
  <c r="T44" i="20"/>
  <c r="P45" i="20"/>
  <c r="Q45" i="20"/>
  <c r="R45" i="20"/>
  <c r="T45" i="20"/>
  <c r="P46" i="20"/>
  <c r="Q46" i="20"/>
  <c r="R46" i="20"/>
  <c r="T46" i="20"/>
  <c r="P47" i="20"/>
  <c r="Q47" i="20"/>
  <c r="R47" i="20"/>
  <c r="T47" i="20"/>
  <c r="P48" i="20"/>
  <c r="Q48" i="20"/>
  <c r="R48" i="20"/>
  <c r="T48" i="20"/>
  <c r="P49" i="20"/>
  <c r="Q49" i="20"/>
  <c r="R49" i="20"/>
  <c r="T49" i="20"/>
  <c r="P50" i="20"/>
  <c r="Q50" i="20"/>
  <c r="R50" i="20"/>
  <c r="T50" i="20"/>
  <c r="P51" i="20"/>
  <c r="Q51" i="20"/>
  <c r="R51" i="20"/>
  <c r="T51" i="20"/>
  <c r="P52" i="20"/>
  <c r="Q52" i="20"/>
  <c r="R52" i="20"/>
  <c r="T52" i="20"/>
  <c r="P53" i="20"/>
  <c r="Q53" i="20"/>
  <c r="R53" i="20"/>
  <c r="T53" i="20"/>
  <c r="P54" i="20"/>
  <c r="Q54" i="20"/>
  <c r="R54" i="20"/>
  <c r="T54" i="20"/>
  <c r="P55" i="20"/>
  <c r="Q55" i="20"/>
  <c r="R55" i="20"/>
  <c r="T55" i="20"/>
  <c r="P56" i="20"/>
  <c r="Q56" i="20"/>
  <c r="R56" i="20"/>
  <c r="T56" i="20"/>
  <c r="P57" i="20"/>
  <c r="Q57" i="20"/>
  <c r="R57" i="20"/>
  <c r="T57" i="20"/>
  <c r="P58" i="20"/>
  <c r="Q58" i="20"/>
  <c r="R58" i="20"/>
  <c r="T58" i="20"/>
  <c r="P59" i="20"/>
  <c r="Q59" i="20"/>
  <c r="R59" i="20"/>
  <c r="T59" i="20"/>
  <c r="P60" i="20"/>
  <c r="Q60" i="20"/>
  <c r="R60" i="20"/>
  <c r="T60" i="20"/>
  <c r="P61" i="20"/>
  <c r="Q61" i="20"/>
  <c r="R61" i="20"/>
  <c r="T61" i="20"/>
  <c r="P62" i="20"/>
  <c r="Q62" i="20"/>
  <c r="R62" i="20"/>
  <c r="T62" i="20"/>
  <c r="Q34" i="20"/>
  <c r="R34" i="20"/>
  <c r="T34" i="20"/>
  <c r="P34" i="20"/>
  <c r="H2" i="20"/>
  <c r="I2" i="20"/>
  <c r="J2" i="20"/>
  <c r="Q2" i="20" s="1"/>
  <c r="Q3" i="20" s="1"/>
  <c r="K2" i="20"/>
  <c r="L2" i="20"/>
  <c r="M2" i="20"/>
  <c r="T2" i="20" s="1"/>
  <c r="H3" i="20"/>
  <c r="I3" i="20"/>
  <c r="J3" i="20"/>
  <c r="K3" i="20"/>
  <c r="L3" i="20"/>
  <c r="M3" i="20"/>
  <c r="H4" i="20"/>
  <c r="I4" i="20"/>
  <c r="J4" i="20"/>
  <c r="K4" i="20"/>
  <c r="L4" i="20"/>
  <c r="M4" i="20"/>
  <c r="H5" i="20"/>
  <c r="I5" i="20"/>
  <c r="J5" i="20"/>
  <c r="K5" i="20"/>
  <c r="L5" i="20"/>
  <c r="M5" i="20"/>
  <c r="H6" i="20"/>
  <c r="I6" i="20"/>
  <c r="J6" i="20"/>
  <c r="K6" i="20"/>
  <c r="L6" i="20"/>
  <c r="M6" i="20"/>
  <c r="H7" i="20"/>
  <c r="I7" i="20"/>
  <c r="J7" i="20"/>
  <c r="K7" i="20"/>
  <c r="L7" i="20"/>
  <c r="M7" i="20"/>
  <c r="H8" i="20"/>
  <c r="I8" i="20"/>
  <c r="J8" i="20"/>
  <c r="K8" i="20"/>
  <c r="L8" i="20"/>
  <c r="M8" i="20"/>
  <c r="H9" i="20"/>
  <c r="I9" i="20"/>
  <c r="J9" i="20"/>
  <c r="K9" i="20"/>
  <c r="L9" i="20"/>
  <c r="M9" i="20"/>
  <c r="H10" i="20"/>
  <c r="I10" i="20"/>
  <c r="J10" i="20"/>
  <c r="K10" i="20"/>
  <c r="L10" i="20"/>
  <c r="M10" i="20"/>
  <c r="H11" i="20"/>
  <c r="I11" i="20"/>
  <c r="J11" i="20"/>
  <c r="K11" i="20"/>
  <c r="L11" i="20"/>
  <c r="M11" i="20"/>
  <c r="H12" i="20"/>
  <c r="I12" i="20"/>
  <c r="J12" i="20"/>
  <c r="K12" i="20"/>
  <c r="L12" i="20"/>
  <c r="M12" i="20"/>
  <c r="H13" i="20"/>
  <c r="I13" i="20"/>
  <c r="J13" i="20"/>
  <c r="K13" i="20"/>
  <c r="L13" i="20"/>
  <c r="M13" i="20"/>
  <c r="H14" i="20"/>
  <c r="I14" i="20"/>
  <c r="J14" i="20"/>
  <c r="K14" i="20"/>
  <c r="L14" i="20"/>
  <c r="M14" i="20"/>
  <c r="H15" i="20"/>
  <c r="I15" i="20"/>
  <c r="J15" i="20"/>
  <c r="K15" i="20"/>
  <c r="L15" i="20"/>
  <c r="M15" i="20"/>
  <c r="H16" i="20"/>
  <c r="I16" i="20"/>
  <c r="J16" i="20"/>
  <c r="K16" i="20"/>
  <c r="L16" i="20"/>
  <c r="M16" i="20"/>
  <c r="S30" i="10"/>
  <c r="V30" i="20"/>
  <c r="V29" i="20"/>
  <c r="V28" i="20"/>
  <c r="V27" i="20"/>
  <c r="V26" i="20"/>
  <c r="V25" i="20"/>
  <c r="V24" i="20"/>
  <c r="V23" i="20"/>
  <c r="V22" i="20"/>
  <c r="V21" i="20"/>
  <c r="V20" i="20"/>
  <c r="V19" i="20"/>
  <c r="V18" i="20"/>
  <c r="V17" i="20"/>
  <c r="V16" i="20"/>
  <c r="V15" i="20"/>
  <c r="V14" i="20"/>
  <c r="V13" i="20"/>
  <c r="V12" i="20"/>
  <c r="V11" i="20"/>
  <c r="V10" i="20"/>
  <c r="V9" i="20"/>
  <c r="V8" i="20"/>
  <c r="V7" i="20"/>
  <c r="V6" i="20"/>
  <c r="V5" i="20"/>
  <c r="V4" i="20"/>
  <c r="V3" i="20"/>
  <c r="V2" i="20"/>
  <c r="M30" i="20"/>
  <c r="L30" i="20"/>
  <c r="K30" i="20"/>
  <c r="J30" i="20"/>
  <c r="I30" i="20"/>
  <c r="H30" i="20"/>
  <c r="M29" i="20"/>
  <c r="L29" i="20"/>
  <c r="K29" i="20"/>
  <c r="J29" i="20"/>
  <c r="I29" i="20"/>
  <c r="H29" i="20"/>
  <c r="M28" i="20"/>
  <c r="L28" i="20"/>
  <c r="K28" i="20"/>
  <c r="J28" i="20"/>
  <c r="I28" i="20"/>
  <c r="H28" i="20"/>
  <c r="M27" i="20"/>
  <c r="L27" i="20"/>
  <c r="K27" i="20"/>
  <c r="J27" i="20"/>
  <c r="I27" i="20"/>
  <c r="H27" i="20"/>
  <c r="M26" i="20"/>
  <c r="L26" i="20"/>
  <c r="K26" i="20"/>
  <c r="J26" i="20"/>
  <c r="I26" i="20"/>
  <c r="H26" i="20"/>
  <c r="M25" i="20"/>
  <c r="L25" i="20"/>
  <c r="K25" i="20"/>
  <c r="J25" i="20"/>
  <c r="I25" i="20"/>
  <c r="H25" i="20"/>
  <c r="M24" i="20"/>
  <c r="L24" i="20"/>
  <c r="K24" i="20"/>
  <c r="J24" i="20"/>
  <c r="I24" i="20"/>
  <c r="H24" i="20"/>
  <c r="M23" i="20"/>
  <c r="L23" i="20"/>
  <c r="K23" i="20"/>
  <c r="J23" i="20"/>
  <c r="I23" i="20"/>
  <c r="H23" i="20"/>
  <c r="M22" i="20"/>
  <c r="L22" i="20"/>
  <c r="K22" i="20"/>
  <c r="J22" i="20"/>
  <c r="I22" i="20"/>
  <c r="H22" i="20"/>
  <c r="M21" i="20"/>
  <c r="L21" i="20"/>
  <c r="K21" i="20"/>
  <c r="J21" i="20"/>
  <c r="I21" i="20"/>
  <c r="H21" i="20"/>
  <c r="M20" i="20"/>
  <c r="L20" i="20"/>
  <c r="K20" i="20"/>
  <c r="J20" i="20"/>
  <c r="I20" i="20"/>
  <c r="H20" i="20"/>
  <c r="M19" i="20"/>
  <c r="L19" i="20"/>
  <c r="K19" i="20"/>
  <c r="J19" i="20"/>
  <c r="I19" i="20"/>
  <c r="H19" i="20"/>
  <c r="M18" i="20"/>
  <c r="L18" i="20"/>
  <c r="K18" i="20"/>
  <c r="J18" i="20"/>
  <c r="I18" i="20"/>
  <c r="H18" i="20"/>
  <c r="M17" i="20"/>
  <c r="L17" i="20"/>
  <c r="K17" i="20"/>
  <c r="J17" i="20"/>
  <c r="I17" i="20"/>
  <c r="H17" i="20"/>
  <c r="R3" i="20"/>
  <c r="R4" i="20" s="1"/>
  <c r="R5" i="20" s="1"/>
  <c r="R6" i="20" s="1"/>
  <c r="R7" i="20" s="1"/>
  <c r="R8" i="20" s="1"/>
  <c r="R9" i="20" s="1"/>
  <c r="R10" i="20" s="1"/>
  <c r="R11" i="20" s="1"/>
  <c r="R12" i="20" s="1"/>
  <c r="R13" i="20" s="1"/>
  <c r="R14" i="20" s="1"/>
  <c r="R15" i="20" s="1"/>
  <c r="R16" i="20" s="1"/>
  <c r="S2" i="20"/>
  <c r="R2" i="20"/>
  <c r="P2" i="20"/>
  <c r="P3" i="20" s="1"/>
  <c r="P4" i="20" s="1"/>
  <c r="P5" i="20" s="1"/>
  <c r="P6" i="20" s="1"/>
  <c r="P7" i="20" s="1"/>
  <c r="P8" i="20" s="1"/>
  <c r="P9" i="20" s="1"/>
  <c r="P10" i="20" s="1"/>
  <c r="P11" i="20" s="1"/>
  <c r="P12" i="20" s="1"/>
  <c r="P13" i="20" s="1"/>
  <c r="P14" i="20" s="1"/>
  <c r="P15" i="20" s="1"/>
  <c r="P16" i="20" s="1"/>
  <c r="P17" i="20" s="1"/>
  <c r="P18" i="20" s="1"/>
  <c r="P19" i="20" s="1"/>
  <c r="P20" i="20" s="1"/>
  <c r="P21" i="20" s="1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R4" i="19"/>
  <c r="S4" i="19"/>
  <c r="T4" i="19"/>
  <c r="U4" i="19"/>
  <c r="R5" i="19"/>
  <c r="S5" i="19"/>
  <c r="T5" i="19"/>
  <c r="U5" i="19"/>
  <c r="R6" i="19"/>
  <c r="S6" i="19"/>
  <c r="T6" i="19"/>
  <c r="U6" i="19"/>
  <c r="R7" i="19"/>
  <c r="S7" i="19"/>
  <c r="T7" i="19"/>
  <c r="U7" i="19"/>
  <c r="R8" i="19"/>
  <c r="S8" i="19"/>
  <c r="T8" i="19"/>
  <c r="U8" i="19"/>
  <c r="R9" i="19"/>
  <c r="S9" i="19"/>
  <c r="T9" i="19"/>
  <c r="U9" i="19"/>
  <c r="R10" i="19"/>
  <c r="S10" i="19"/>
  <c r="T10" i="19"/>
  <c r="U10" i="19"/>
  <c r="R11" i="19"/>
  <c r="S11" i="19"/>
  <c r="T11" i="19"/>
  <c r="U11" i="19"/>
  <c r="R12" i="19"/>
  <c r="S12" i="19"/>
  <c r="T12" i="19"/>
  <c r="U12" i="19"/>
  <c r="R13" i="19"/>
  <c r="S13" i="19"/>
  <c r="T13" i="19"/>
  <c r="U13" i="19"/>
  <c r="R14" i="19"/>
  <c r="S14" i="19"/>
  <c r="T14" i="19"/>
  <c r="U14" i="19"/>
  <c r="R15" i="19"/>
  <c r="S15" i="19"/>
  <c r="T15" i="19"/>
  <c r="U15" i="19"/>
  <c r="R16" i="19"/>
  <c r="S16" i="19"/>
  <c r="T16" i="19"/>
  <c r="U16" i="19"/>
  <c r="R17" i="19"/>
  <c r="S17" i="19"/>
  <c r="T17" i="19"/>
  <c r="U17" i="19"/>
  <c r="R18" i="19"/>
  <c r="S18" i="19"/>
  <c r="T18" i="19"/>
  <c r="U18" i="19"/>
  <c r="R19" i="19"/>
  <c r="S19" i="19"/>
  <c r="T19" i="19"/>
  <c r="U19" i="19"/>
  <c r="R20" i="19"/>
  <c r="S20" i="19"/>
  <c r="T20" i="19"/>
  <c r="U20" i="19"/>
  <c r="R21" i="19"/>
  <c r="S21" i="19"/>
  <c r="T21" i="19"/>
  <c r="U21" i="19"/>
  <c r="R22" i="19"/>
  <c r="S22" i="19"/>
  <c r="T22" i="19"/>
  <c r="U22" i="19"/>
  <c r="R23" i="19"/>
  <c r="S23" i="19"/>
  <c r="T23" i="19"/>
  <c r="U23" i="19"/>
  <c r="R24" i="19"/>
  <c r="S24" i="19"/>
  <c r="T24" i="19"/>
  <c r="U24" i="19"/>
  <c r="R25" i="19"/>
  <c r="S25" i="19"/>
  <c r="T25" i="19"/>
  <c r="U25" i="19"/>
  <c r="R26" i="19"/>
  <c r="S26" i="19"/>
  <c r="T26" i="19"/>
  <c r="U26" i="19"/>
  <c r="R27" i="19"/>
  <c r="S27" i="19"/>
  <c r="T27" i="19"/>
  <c r="U27" i="19"/>
  <c r="R28" i="19"/>
  <c r="S28" i="19"/>
  <c r="T28" i="19"/>
  <c r="U28" i="19"/>
  <c r="R29" i="19"/>
  <c r="S29" i="19"/>
  <c r="T29" i="19"/>
  <c r="U29" i="19"/>
  <c r="R30" i="19"/>
  <c r="S30" i="19"/>
  <c r="T30" i="19"/>
  <c r="U30" i="19"/>
  <c r="R31" i="19"/>
  <c r="S31" i="19"/>
  <c r="T31" i="19"/>
  <c r="U31" i="19"/>
  <c r="R32" i="19"/>
  <c r="S32" i="19"/>
  <c r="T32" i="19"/>
  <c r="U32" i="19"/>
  <c r="R33" i="19"/>
  <c r="S33" i="19"/>
  <c r="T33" i="19"/>
  <c r="U33" i="19"/>
  <c r="R34" i="19"/>
  <c r="S34" i="19"/>
  <c r="T34" i="19"/>
  <c r="U34" i="19"/>
  <c r="R35" i="19"/>
  <c r="S35" i="19"/>
  <c r="T35" i="19"/>
  <c r="U35" i="19"/>
  <c r="R36" i="19"/>
  <c r="S36" i="19"/>
  <c r="T36" i="19"/>
  <c r="U36" i="19"/>
  <c r="R37" i="19"/>
  <c r="S37" i="19"/>
  <c r="T37" i="19"/>
  <c r="U37" i="19"/>
  <c r="R38" i="19"/>
  <c r="S38" i="19"/>
  <c r="T38" i="19"/>
  <c r="U38" i="19"/>
  <c r="R39" i="19"/>
  <c r="S39" i="19"/>
  <c r="T39" i="19"/>
  <c r="U39" i="19"/>
  <c r="R40" i="19"/>
  <c r="S40" i="19"/>
  <c r="T40" i="19"/>
  <c r="U40" i="19"/>
  <c r="R41" i="19"/>
  <c r="S41" i="19"/>
  <c r="T41" i="19"/>
  <c r="U41" i="19"/>
  <c r="R42" i="19"/>
  <c r="S42" i="19"/>
  <c r="T42" i="19"/>
  <c r="U42" i="19"/>
  <c r="R43" i="19"/>
  <c r="S43" i="19"/>
  <c r="T43" i="19"/>
  <c r="U43" i="19"/>
  <c r="R44" i="19"/>
  <c r="S44" i="19"/>
  <c r="T44" i="19"/>
  <c r="U44" i="19"/>
  <c r="R45" i="19"/>
  <c r="S45" i="19"/>
  <c r="T45" i="19"/>
  <c r="U45" i="19"/>
  <c r="R46" i="19"/>
  <c r="S46" i="19"/>
  <c r="T46" i="19"/>
  <c r="U46" i="19"/>
  <c r="R47" i="19"/>
  <c r="S47" i="19"/>
  <c r="T47" i="19"/>
  <c r="U47" i="19"/>
  <c r="R48" i="19"/>
  <c r="S48" i="19"/>
  <c r="T48" i="19"/>
  <c r="U48" i="19"/>
  <c r="R49" i="19"/>
  <c r="S49" i="19"/>
  <c r="T49" i="19"/>
  <c r="U49" i="19"/>
  <c r="R50" i="19"/>
  <c r="S50" i="19"/>
  <c r="T50" i="19"/>
  <c r="U50" i="19"/>
  <c r="R51" i="19"/>
  <c r="S51" i="19"/>
  <c r="T51" i="19"/>
  <c r="U51" i="19"/>
  <c r="R52" i="19"/>
  <c r="S52" i="19"/>
  <c r="T52" i="19"/>
  <c r="U52" i="19"/>
  <c r="R53" i="19"/>
  <c r="S53" i="19"/>
  <c r="T53" i="19"/>
  <c r="U53" i="19"/>
  <c r="R54" i="19"/>
  <c r="S54" i="19"/>
  <c r="T54" i="19"/>
  <c r="U54" i="19"/>
  <c r="R55" i="19"/>
  <c r="S55" i="19"/>
  <c r="T55" i="19"/>
  <c r="U55" i="19"/>
  <c r="R56" i="19"/>
  <c r="S56" i="19"/>
  <c r="T56" i="19"/>
  <c r="U56" i="19"/>
  <c r="R57" i="19"/>
  <c r="S57" i="19"/>
  <c r="T57" i="19"/>
  <c r="U57" i="19"/>
  <c r="R58" i="19"/>
  <c r="S58" i="19"/>
  <c r="T58" i="19"/>
  <c r="U58" i="19"/>
  <c r="R59" i="19"/>
  <c r="S59" i="19"/>
  <c r="T59" i="19"/>
  <c r="U59" i="19"/>
  <c r="R60" i="19"/>
  <c r="S60" i="19"/>
  <c r="T60" i="19"/>
  <c r="U60" i="19"/>
  <c r="R61" i="19"/>
  <c r="S61" i="19"/>
  <c r="T61" i="19"/>
  <c r="U61" i="19"/>
  <c r="R62" i="19"/>
  <c r="S62" i="19"/>
  <c r="T62" i="19"/>
  <c r="U62" i="19"/>
  <c r="R63" i="19"/>
  <c r="S63" i="19"/>
  <c r="T63" i="19"/>
  <c r="U63" i="19"/>
  <c r="R64" i="19"/>
  <c r="S64" i="19"/>
  <c r="T64" i="19"/>
  <c r="U64" i="19"/>
  <c r="R65" i="19"/>
  <c r="S65" i="19"/>
  <c r="T65" i="19"/>
  <c r="U65" i="19"/>
  <c r="R66" i="19"/>
  <c r="S66" i="19"/>
  <c r="T66" i="19"/>
  <c r="U66" i="19"/>
  <c r="R67" i="19"/>
  <c r="S67" i="19"/>
  <c r="T67" i="19"/>
  <c r="U67" i="19"/>
  <c r="R68" i="19"/>
  <c r="S68" i="19"/>
  <c r="T68" i="19"/>
  <c r="U68" i="19"/>
  <c r="R69" i="19"/>
  <c r="S69" i="19"/>
  <c r="T69" i="19"/>
  <c r="U69" i="19"/>
  <c r="R70" i="19"/>
  <c r="S70" i="19"/>
  <c r="T70" i="19"/>
  <c r="U70" i="19"/>
  <c r="R71" i="19"/>
  <c r="S71" i="19"/>
  <c r="T71" i="19"/>
  <c r="U71" i="19"/>
  <c r="R72" i="19"/>
  <c r="S72" i="19"/>
  <c r="T72" i="19"/>
  <c r="U72" i="19"/>
  <c r="R73" i="19"/>
  <c r="S73" i="19"/>
  <c r="T73" i="19"/>
  <c r="U73" i="19"/>
  <c r="R74" i="19"/>
  <c r="S74" i="19"/>
  <c r="T74" i="19"/>
  <c r="U74" i="19"/>
  <c r="R75" i="19"/>
  <c r="S75" i="19"/>
  <c r="T75" i="19"/>
  <c r="U75" i="19"/>
  <c r="R76" i="19"/>
  <c r="S76" i="19"/>
  <c r="T76" i="19"/>
  <c r="U76" i="19"/>
  <c r="R77" i="19"/>
  <c r="S77" i="19"/>
  <c r="T77" i="19"/>
  <c r="U77" i="19"/>
  <c r="R78" i="19"/>
  <c r="S78" i="19"/>
  <c r="T78" i="19"/>
  <c r="U78" i="19"/>
  <c r="R79" i="19"/>
  <c r="S79" i="19"/>
  <c r="T79" i="19"/>
  <c r="U79" i="19"/>
  <c r="R80" i="19"/>
  <c r="S80" i="19"/>
  <c r="T80" i="19"/>
  <c r="U80" i="19"/>
  <c r="R81" i="19"/>
  <c r="S81" i="19"/>
  <c r="T81" i="19"/>
  <c r="U81" i="19"/>
  <c r="R82" i="19"/>
  <c r="S82" i="19"/>
  <c r="T82" i="19"/>
  <c r="U82" i="19"/>
  <c r="R83" i="19"/>
  <c r="S83" i="19"/>
  <c r="T83" i="19"/>
  <c r="U83" i="19"/>
  <c r="R84" i="19"/>
  <c r="S84" i="19"/>
  <c r="T84" i="19"/>
  <c r="U84" i="19"/>
  <c r="R85" i="19"/>
  <c r="S85" i="19"/>
  <c r="T85" i="19"/>
  <c r="U85" i="19"/>
  <c r="R86" i="19"/>
  <c r="S86" i="19"/>
  <c r="T86" i="19"/>
  <c r="U86" i="19"/>
  <c r="R87" i="19"/>
  <c r="S87" i="19"/>
  <c r="T87" i="19"/>
  <c r="U87" i="19"/>
  <c r="R88" i="19"/>
  <c r="S88" i="19"/>
  <c r="T88" i="19"/>
  <c r="U88" i="19"/>
  <c r="R89" i="19"/>
  <c r="S89" i="19"/>
  <c r="T89" i="19"/>
  <c r="U89" i="19"/>
  <c r="R90" i="19"/>
  <c r="S90" i="19"/>
  <c r="T90" i="19"/>
  <c r="U90" i="19"/>
  <c r="R91" i="19"/>
  <c r="S91" i="19"/>
  <c r="T91" i="19"/>
  <c r="U91" i="19"/>
  <c r="R92" i="19"/>
  <c r="S92" i="19"/>
  <c r="T92" i="19"/>
  <c r="U92" i="19"/>
  <c r="R93" i="19"/>
  <c r="S93" i="19"/>
  <c r="T93" i="19"/>
  <c r="U93" i="19"/>
  <c r="R94" i="19"/>
  <c r="S94" i="19"/>
  <c r="T94" i="19"/>
  <c r="U94" i="19"/>
  <c r="S3" i="19"/>
  <c r="T3" i="19"/>
  <c r="U3" i="19"/>
  <c r="R3" i="19"/>
  <c r="J4" i="19"/>
  <c r="K4" i="19"/>
  <c r="L4" i="19"/>
  <c r="M4" i="19"/>
  <c r="J5" i="19"/>
  <c r="K5" i="19"/>
  <c r="L5" i="19"/>
  <c r="M5" i="19"/>
  <c r="J6" i="19"/>
  <c r="K6" i="19"/>
  <c r="L6" i="19"/>
  <c r="M6" i="19"/>
  <c r="J7" i="19"/>
  <c r="K7" i="19"/>
  <c r="L7" i="19"/>
  <c r="M7" i="19"/>
  <c r="J8" i="19"/>
  <c r="K8" i="19"/>
  <c r="L8" i="19"/>
  <c r="M8" i="19"/>
  <c r="J9" i="19"/>
  <c r="K9" i="19"/>
  <c r="L9" i="19"/>
  <c r="M9" i="19"/>
  <c r="J10" i="19"/>
  <c r="K10" i="19"/>
  <c r="L10" i="19"/>
  <c r="M10" i="19"/>
  <c r="J11" i="19"/>
  <c r="K11" i="19"/>
  <c r="L11" i="19"/>
  <c r="M11" i="19"/>
  <c r="J12" i="19"/>
  <c r="K12" i="19"/>
  <c r="L12" i="19"/>
  <c r="M12" i="19"/>
  <c r="J13" i="19"/>
  <c r="K13" i="19"/>
  <c r="L13" i="19"/>
  <c r="M13" i="19"/>
  <c r="J14" i="19"/>
  <c r="K14" i="19"/>
  <c r="L14" i="19"/>
  <c r="M14" i="19"/>
  <c r="J15" i="19"/>
  <c r="K15" i="19"/>
  <c r="L15" i="19"/>
  <c r="M15" i="19"/>
  <c r="J16" i="19"/>
  <c r="K16" i="19"/>
  <c r="L16" i="19"/>
  <c r="M16" i="19"/>
  <c r="J17" i="19"/>
  <c r="K17" i="19"/>
  <c r="L17" i="19"/>
  <c r="M17" i="19"/>
  <c r="J18" i="19"/>
  <c r="K18" i="19"/>
  <c r="L18" i="19"/>
  <c r="M18" i="19"/>
  <c r="J19" i="19"/>
  <c r="K19" i="19"/>
  <c r="L19" i="19"/>
  <c r="M19" i="19"/>
  <c r="J20" i="19"/>
  <c r="K20" i="19"/>
  <c r="L20" i="19"/>
  <c r="M20" i="19"/>
  <c r="J21" i="19"/>
  <c r="K21" i="19"/>
  <c r="L21" i="19"/>
  <c r="M21" i="19"/>
  <c r="J22" i="19"/>
  <c r="K22" i="19"/>
  <c r="L22" i="19"/>
  <c r="M22" i="19"/>
  <c r="J23" i="19"/>
  <c r="K23" i="19"/>
  <c r="L23" i="19"/>
  <c r="M23" i="19"/>
  <c r="J24" i="19"/>
  <c r="K24" i="19"/>
  <c r="L24" i="19"/>
  <c r="M24" i="19"/>
  <c r="J25" i="19"/>
  <c r="K25" i="19"/>
  <c r="L25" i="19"/>
  <c r="M25" i="19"/>
  <c r="J26" i="19"/>
  <c r="K26" i="19"/>
  <c r="L26" i="19"/>
  <c r="M26" i="19"/>
  <c r="J27" i="19"/>
  <c r="K27" i="19"/>
  <c r="L27" i="19"/>
  <c r="M27" i="19"/>
  <c r="J28" i="19"/>
  <c r="K28" i="19"/>
  <c r="L28" i="19"/>
  <c r="M28" i="19"/>
  <c r="J29" i="19"/>
  <c r="K29" i="19"/>
  <c r="L29" i="19"/>
  <c r="M29" i="19"/>
  <c r="J30" i="19"/>
  <c r="K30" i="19"/>
  <c r="L30" i="19"/>
  <c r="M30" i="19"/>
  <c r="J31" i="19"/>
  <c r="K31" i="19"/>
  <c r="L31" i="19"/>
  <c r="M31" i="19"/>
  <c r="J32" i="19"/>
  <c r="K32" i="19"/>
  <c r="L32" i="19"/>
  <c r="M32" i="19"/>
  <c r="J33" i="19"/>
  <c r="K33" i="19"/>
  <c r="L33" i="19"/>
  <c r="M33" i="19"/>
  <c r="J34" i="19"/>
  <c r="K34" i="19"/>
  <c r="L34" i="19"/>
  <c r="M34" i="19"/>
  <c r="J35" i="19"/>
  <c r="K35" i="19"/>
  <c r="L35" i="19"/>
  <c r="M35" i="19"/>
  <c r="J36" i="19"/>
  <c r="K36" i="19"/>
  <c r="L36" i="19"/>
  <c r="M36" i="19"/>
  <c r="J37" i="19"/>
  <c r="K37" i="19"/>
  <c r="L37" i="19"/>
  <c r="M37" i="19"/>
  <c r="J38" i="19"/>
  <c r="K38" i="19"/>
  <c r="L38" i="19"/>
  <c r="M38" i="19"/>
  <c r="J39" i="19"/>
  <c r="K39" i="19"/>
  <c r="L39" i="19"/>
  <c r="M39" i="19"/>
  <c r="J40" i="19"/>
  <c r="K40" i="19"/>
  <c r="L40" i="19"/>
  <c r="M40" i="19"/>
  <c r="J41" i="19"/>
  <c r="K41" i="19"/>
  <c r="L41" i="19"/>
  <c r="M41" i="19"/>
  <c r="J42" i="19"/>
  <c r="K42" i="19"/>
  <c r="L42" i="19"/>
  <c r="M42" i="19"/>
  <c r="J43" i="19"/>
  <c r="K43" i="19"/>
  <c r="L43" i="19"/>
  <c r="M43" i="19"/>
  <c r="J44" i="19"/>
  <c r="K44" i="19"/>
  <c r="L44" i="19"/>
  <c r="M44" i="19"/>
  <c r="J45" i="19"/>
  <c r="K45" i="19"/>
  <c r="L45" i="19"/>
  <c r="M45" i="19"/>
  <c r="J46" i="19"/>
  <c r="K46" i="19"/>
  <c r="L46" i="19"/>
  <c r="M46" i="19"/>
  <c r="J47" i="19"/>
  <c r="K47" i="19"/>
  <c r="L47" i="19"/>
  <c r="M47" i="19"/>
  <c r="J48" i="19"/>
  <c r="K48" i="19"/>
  <c r="L48" i="19"/>
  <c r="M48" i="19"/>
  <c r="J49" i="19"/>
  <c r="K49" i="19"/>
  <c r="L49" i="19"/>
  <c r="M49" i="19"/>
  <c r="J50" i="19"/>
  <c r="K50" i="19"/>
  <c r="L50" i="19"/>
  <c r="M50" i="19"/>
  <c r="J51" i="19"/>
  <c r="K51" i="19"/>
  <c r="L51" i="19"/>
  <c r="M51" i="19"/>
  <c r="J52" i="19"/>
  <c r="K52" i="19"/>
  <c r="L52" i="19"/>
  <c r="M52" i="19"/>
  <c r="J53" i="19"/>
  <c r="K53" i="19"/>
  <c r="L53" i="19"/>
  <c r="M53" i="19"/>
  <c r="J54" i="19"/>
  <c r="K54" i="19"/>
  <c r="L54" i="19"/>
  <c r="M54" i="19"/>
  <c r="J55" i="19"/>
  <c r="K55" i="19"/>
  <c r="L55" i="19"/>
  <c r="M55" i="19"/>
  <c r="J56" i="19"/>
  <c r="K56" i="19"/>
  <c r="L56" i="19"/>
  <c r="M56" i="19"/>
  <c r="J57" i="19"/>
  <c r="K57" i="19"/>
  <c r="L57" i="19"/>
  <c r="M57" i="19"/>
  <c r="J58" i="19"/>
  <c r="K58" i="19"/>
  <c r="L58" i="19"/>
  <c r="M58" i="19"/>
  <c r="J59" i="19"/>
  <c r="K59" i="19"/>
  <c r="L59" i="19"/>
  <c r="M59" i="19"/>
  <c r="J60" i="19"/>
  <c r="K60" i="19"/>
  <c r="L60" i="19"/>
  <c r="M60" i="19"/>
  <c r="J61" i="19"/>
  <c r="K61" i="19"/>
  <c r="L61" i="19"/>
  <c r="M61" i="19"/>
  <c r="J62" i="19"/>
  <c r="K62" i="19"/>
  <c r="L62" i="19"/>
  <c r="M62" i="19"/>
  <c r="J63" i="19"/>
  <c r="K63" i="19"/>
  <c r="L63" i="19"/>
  <c r="M63" i="19"/>
  <c r="J64" i="19"/>
  <c r="K64" i="19"/>
  <c r="L64" i="19"/>
  <c r="M64" i="19"/>
  <c r="J65" i="19"/>
  <c r="K65" i="19"/>
  <c r="L65" i="19"/>
  <c r="M65" i="19"/>
  <c r="J66" i="19"/>
  <c r="K66" i="19"/>
  <c r="L66" i="19"/>
  <c r="M66" i="19"/>
  <c r="J67" i="19"/>
  <c r="K67" i="19"/>
  <c r="L67" i="19"/>
  <c r="M67" i="19"/>
  <c r="J68" i="19"/>
  <c r="K68" i="19"/>
  <c r="L68" i="19"/>
  <c r="M68" i="19"/>
  <c r="J69" i="19"/>
  <c r="K69" i="19"/>
  <c r="L69" i="19"/>
  <c r="M69" i="19"/>
  <c r="J70" i="19"/>
  <c r="K70" i="19"/>
  <c r="L70" i="19"/>
  <c r="M70" i="19"/>
  <c r="J71" i="19"/>
  <c r="K71" i="19"/>
  <c r="L71" i="19"/>
  <c r="M71" i="19"/>
  <c r="J72" i="19"/>
  <c r="K72" i="19"/>
  <c r="L72" i="19"/>
  <c r="M72" i="19"/>
  <c r="J73" i="19"/>
  <c r="K73" i="19"/>
  <c r="L73" i="19"/>
  <c r="M73" i="19"/>
  <c r="J74" i="19"/>
  <c r="K74" i="19"/>
  <c r="L74" i="19"/>
  <c r="M74" i="19"/>
  <c r="J75" i="19"/>
  <c r="K75" i="19"/>
  <c r="L75" i="19"/>
  <c r="M75" i="19"/>
  <c r="J76" i="19"/>
  <c r="K76" i="19"/>
  <c r="L76" i="19"/>
  <c r="M76" i="19"/>
  <c r="J77" i="19"/>
  <c r="K77" i="19"/>
  <c r="L77" i="19"/>
  <c r="M77" i="19"/>
  <c r="J78" i="19"/>
  <c r="K78" i="19"/>
  <c r="L78" i="19"/>
  <c r="M78" i="19"/>
  <c r="J79" i="19"/>
  <c r="K79" i="19"/>
  <c r="L79" i="19"/>
  <c r="M79" i="19"/>
  <c r="J80" i="19"/>
  <c r="K80" i="19"/>
  <c r="L80" i="19"/>
  <c r="M80" i="19"/>
  <c r="J81" i="19"/>
  <c r="K81" i="19"/>
  <c r="L81" i="19"/>
  <c r="M81" i="19"/>
  <c r="J82" i="19"/>
  <c r="K82" i="19"/>
  <c r="L82" i="19"/>
  <c r="M82" i="19"/>
  <c r="J83" i="19"/>
  <c r="K83" i="19"/>
  <c r="L83" i="19"/>
  <c r="M83" i="19"/>
  <c r="J84" i="19"/>
  <c r="K84" i="19"/>
  <c r="L84" i="19"/>
  <c r="M84" i="19"/>
  <c r="J85" i="19"/>
  <c r="K85" i="19"/>
  <c r="L85" i="19"/>
  <c r="M85" i="19"/>
  <c r="J86" i="19"/>
  <c r="K86" i="19"/>
  <c r="L86" i="19"/>
  <c r="M86" i="19"/>
  <c r="J87" i="19"/>
  <c r="K87" i="19"/>
  <c r="L87" i="19"/>
  <c r="M87" i="19"/>
  <c r="J88" i="19"/>
  <c r="K88" i="19"/>
  <c r="L88" i="19"/>
  <c r="M88" i="19"/>
  <c r="J89" i="19"/>
  <c r="K89" i="19"/>
  <c r="L89" i="19"/>
  <c r="M89" i="19"/>
  <c r="J90" i="19"/>
  <c r="K90" i="19"/>
  <c r="L90" i="19"/>
  <c r="M90" i="19"/>
  <c r="J91" i="19"/>
  <c r="K91" i="19"/>
  <c r="L91" i="19"/>
  <c r="M91" i="19"/>
  <c r="J92" i="19"/>
  <c r="K92" i="19"/>
  <c r="L92" i="19"/>
  <c r="M92" i="19"/>
  <c r="J93" i="19"/>
  <c r="K93" i="19"/>
  <c r="L93" i="19"/>
  <c r="M93" i="19"/>
  <c r="J94" i="19"/>
  <c r="K94" i="19"/>
  <c r="L94" i="19"/>
  <c r="M94" i="19"/>
  <c r="J95" i="19"/>
  <c r="K95" i="19"/>
  <c r="L95" i="19"/>
  <c r="M95" i="19"/>
  <c r="J96" i="19"/>
  <c r="K96" i="19"/>
  <c r="L96" i="19"/>
  <c r="M96" i="19"/>
  <c r="K3" i="19"/>
  <c r="L3" i="19"/>
  <c r="M3" i="19"/>
  <c r="J3" i="19"/>
  <c r="B4" i="19"/>
  <c r="C4" i="19"/>
  <c r="D4" i="19"/>
  <c r="E4" i="19"/>
  <c r="B5" i="19"/>
  <c r="C5" i="19"/>
  <c r="D5" i="19"/>
  <c r="E5" i="19"/>
  <c r="B6" i="19"/>
  <c r="C6" i="19"/>
  <c r="D6" i="19"/>
  <c r="E6" i="19"/>
  <c r="B7" i="19"/>
  <c r="C7" i="19"/>
  <c r="D7" i="19"/>
  <c r="E7" i="19"/>
  <c r="B8" i="19"/>
  <c r="C8" i="19"/>
  <c r="D8" i="19"/>
  <c r="E8" i="19"/>
  <c r="B9" i="19"/>
  <c r="C9" i="19"/>
  <c r="D9" i="19"/>
  <c r="E9" i="19"/>
  <c r="B10" i="19"/>
  <c r="C10" i="19"/>
  <c r="D10" i="19"/>
  <c r="E10" i="19"/>
  <c r="B11" i="19"/>
  <c r="C11" i="19"/>
  <c r="D11" i="19"/>
  <c r="E11" i="19"/>
  <c r="B12" i="19"/>
  <c r="C12" i="19"/>
  <c r="D12" i="19"/>
  <c r="E12" i="19"/>
  <c r="B13" i="19"/>
  <c r="C13" i="19"/>
  <c r="D13" i="19"/>
  <c r="E13" i="19"/>
  <c r="B14" i="19"/>
  <c r="C14" i="19"/>
  <c r="D14" i="19"/>
  <c r="E14" i="19"/>
  <c r="B15" i="19"/>
  <c r="C15" i="19"/>
  <c r="D15" i="19"/>
  <c r="E15" i="19"/>
  <c r="B16" i="19"/>
  <c r="C16" i="19"/>
  <c r="D16" i="19"/>
  <c r="E16" i="19"/>
  <c r="B17" i="19"/>
  <c r="C17" i="19"/>
  <c r="D17" i="19"/>
  <c r="E17" i="19"/>
  <c r="B18" i="19"/>
  <c r="C18" i="19"/>
  <c r="D18" i="19"/>
  <c r="E18" i="19"/>
  <c r="B19" i="19"/>
  <c r="C19" i="19"/>
  <c r="D19" i="19"/>
  <c r="E19" i="19"/>
  <c r="B20" i="19"/>
  <c r="C20" i="19"/>
  <c r="D20" i="19"/>
  <c r="E20" i="19"/>
  <c r="B21" i="19"/>
  <c r="C21" i="19"/>
  <c r="D21" i="19"/>
  <c r="E21" i="19"/>
  <c r="B22" i="19"/>
  <c r="C22" i="19"/>
  <c r="D22" i="19"/>
  <c r="E22" i="19"/>
  <c r="B23" i="19"/>
  <c r="C23" i="19"/>
  <c r="D23" i="19"/>
  <c r="E23" i="19"/>
  <c r="B24" i="19"/>
  <c r="C24" i="19"/>
  <c r="D24" i="19"/>
  <c r="E24" i="19"/>
  <c r="B25" i="19"/>
  <c r="C25" i="19"/>
  <c r="D25" i="19"/>
  <c r="E25" i="19"/>
  <c r="B26" i="19"/>
  <c r="C26" i="19"/>
  <c r="D26" i="19"/>
  <c r="E26" i="19"/>
  <c r="B27" i="19"/>
  <c r="C27" i="19"/>
  <c r="D27" i="19"/>
  <c r="E27" i="19"/>
  <c r="B28" i="19"/>
  <c r="C28" i="19"/>
  <c r="D28" i="19"/>
  <c r="E28" i="19"/>
  <c r="B29" i="19"/>
  <c r="C29" i="19"/>
  <c r="D29" i="19"/>
  <c r="E29" i="19"/>
  <c r="B30" i="19"/>
  <c r="C30" i="19"/>
  <c r="D30" i="19"/>
  <c r="E30" i="19"/>
  <c r="B31" i="19"/>
  <c r="C31" i="19"/>
  <c r="D31" i="19"/>
  <c r="E31" i="19"/>
  <c r="B32" i="19"/>
  <c r="C32" i="19"/>
  <c r="D32" i="19"/>
  <c r="E32" i="19"/>
  <c r="B33" i="19"/>
  <c r="C33" i="19"/>
  <c r="D33" i="19"/>
  <c r="E33" i="19"/>
  <c r="B34" i="19"/>
  <c r="C34" i="19"/>
  <c r="D34" i="19"/>
  <c r="E34" i="19"/>
  <c r="B35" i="19"/>
  <c r="C35" i="19"/>
  <c r="D35" i="19"/>
  <c r="E35" i="19"/>
  <c r="B36" i="19"/>
  <c r="C36" i="19"/>
  <c r="D36" i="19"/>
  <c r="E36" i="19"/>
  <c r="B37" i="19"/>
  <c r="C37" i="19"/>
  <c r="D37" i="19"/>
  <c r="E37" i="19"/>
  <c r="B38" i="19"/>
  <c r="C38" i="19"/>
  <c r="D38" i="19"/>
  <c r="E38" i="19"/>
  <c r="B39" i="19"/>
  <c r="C39" i="19"/>
  <c r="D39" i="19"/>
  <c r="E39" i="19"/>
  <c r="B40" i="19"/>
  <c r="C40" i="19"/>
  <c r="D40" i="19"/>
  <c r="E40" i="19"/>
  <c r="B41" i="19"/>
  <c r="C41" i="19"/>
  <c r="D41" i="19"/>
  <c r="E41" i="19"/>
  <c r="B42" i="19"/>
  <c r="C42" i="19"/>
  <c r="D42" i="19"/>
  <c r="E42" i="19"/>
  <c r="B43" i="19"/>
  <c r="C43" i="19"/>
  <c r="D43" i="19"/>
  <c r="E43" i="19"/>
  <c r="B44" i="19"/>
  <c r="C44" i="19"/>
  <c r="D44" i="19"/>
  <c r="E44" i="19"/>
  <c r="B45" i="19"/>
  <c r="C45" i="19"/>
  <c r="D45" i="19"/>
  <c r="E45" i="19"/>
  <c r="B46" i="19"/>
  <c r="C46" i="19"/>
  <c r="D46" i="19"/>
  <c r="E46" i="19"/>
  <c r="B47" i="19"/>
  <c r="C47" i="19"/>
  <c r="D47" i="19"/>
  <c r="E47" i="19"/>
  <c r="B48" i="19"/>
  <c r="C48" i="19"/>
  <c r="D48" i="19"/>
  <c r="E48" i="19"/>
  <c r="B49" i="19"/>
  <c r="C49" i="19"/>
  <c r="D49" i="19"/>
  <c r="E49" i="19"/>
  <c r="B50" i="19"/>
  <c r="C50" i="19"/>
  <c r="D50" i="19"/>
  <c r="E50" i="19"/>
  <c r="B51" i="19"/>
  <c r="C51" i="19"/>
  <c r="D51" i="19"/>
  <c r="E51" i="19"/>
  <c r="B52" i="19"/>
  <c r="C52" i="19"/>
  <c r="D52" i="19"/>
  <c r="E52" i="19"/>
  <c r="B53" i="19"/>
  <c r="C53" i="19"/>
  <c r="D53" i="19"/>
  <c r="E53" i="19"/>
  <c r="B54" i="19"/>
  <c r="C54" i="19"/>
  <c r="D54" i="19"/>
  <c r="E54" i="19"/>
  <c r="B55" i="19"/>
  <c r="C55" i="19"/>
  <c r="D55" i="19"/>
  <c r="E55" i="19"/>
  <c r="B56" i="19"/>
  <c r="C56" i="19"/>
  <c r="D56" i="19"/>
  <c r="E56" i="19"/>
  <c r="B57" i="19"/>
  <c r="C57" i="19"/>
  <c r="D57" i="19"/>
  <c r="E57" i="19"/>
  <c r="B58" i="19"/>
  <c r="C58" i="19"/>
  <c r="D58" i="19"/>
  <c r="E58" i="19"/>
  <c r="B59" i="19"/>
  <c r="C59" i="19"/>
  <c r="D59" i="19"/>
  <c r="E59" i="19"/>
  <c r="B60" i="19"/>
  <c r="C60" i="19"/>
  <c r="D60" i="19"/>
  <c r="E60" i="19"/>
  <c r="B61" i="19"/>
  <c r="C61" i="19"/>
  <c r="D61" i="19"/>
  <c r="E61" i="19"/>
  <c r="B62" i="19"/>
  <c r="C62" i="19"/>
  <c r="D62" i="19"/>
  <c r="E62" i="19"/>
  <c r="B63" i="19"/>
  <c r="C63" i="19"/>
  <c r="D63" i="19"/>
  <c r="E63" i="19"/>
  <c r="B64" i="19"/>
  <c r="C64" i="19"/>
  <c r="D64" i="19"/>
  <c r="E64" i="19"/>
  <c r="B65" i="19"/>
  <c r="C65" i="19"/>
  <c r="D65" i="19"/>
  <c r="E65" i="19"/>
  <c r="B66" i="19"/>
  <c r="C66" i="19"/>
  <c r="D66" i="19"/>
  <c r="E66" i="19"/>
  <c r="B67" i="19"/>
  <c r="C67" i="19"/>
  <c r="D67" i="19"/>
  <c r="E67" i="19"/>
  <c r="B68" i="19"/>
  <c r="C68" i="19"/>
  <c r="D68" i="19"/>
  <c r="E68" i="19"/>
  <c r="B69" i="19"/>
  <c r="C69" i="19"/>
  <c r="D69" i="19"/>
  <c r="E69" i="19"/>
  <c r="B70" i="19"/>
  <c r="C70" i="19"/>
  <c r="D70" i="19"/>
  <c r="E70" i="19"/>
  <c r="B71" i="19"/>
  <c r="C71" i="19"/>
  <c r="D71" i="19"/>
  <c r="E71" i="19"/>
  <c r="B72" i="19"/>
  <c r="C72" i="19"/>
  <c r="D72" i="19"/>
  <c r="E72" i="19"/>
  <c r="B73" i="19"/>
  <c r="C73" i="19"/>
  <c r="D73" i="19"/>
  <c r="E73" i="19"/>
  <c r="B74" i="19"/>
  <c r="C74" i="19"/>
  <c r="D74" i="19"/>
  <c r="E74" i="19"/>
  <c r="B75" i="19"/>
  <c r="C75" i="19"/>
  <c r="D75" i="19"/>
  <c r="E75" i="19"/>
  <c r="B76" i="19"/>
  <c r="C76" i="19"/>
  <c r="D76" i="19"/>
  <c r="E76" i="19"/>
  <c r="B77" i="19"/>
  <c r="C77" i="19"/>
  <c r="D77" i="19"/>
  <c r="E77" i="19"/>
  <c r="B78" i="19"/>
  <c r="C78" i="19"/>
  <c r="D78" i="19"/>
  <c r="E78" i="19"/>
  <c r="B79" i="19"/>
  <c r="C79" i="19"/>
  <c r="D79" i="19"/>
  <c r="E79" i="19"/>
  <c r="B80" i="19"/>
  <c r="C80" i="19"/>
  <c r="D80" i="19"/>
  <c r="E80" i="19"/>
  <c r="B81" i="19"/>
  <c r="C81" i="19"/>
  <c r="D81" i="19"/>
  <c r="E81" i="19"/>
  <c r="B82" i="19"/>
  <c r="C82" i="19"/>
  <c r="D82" i="19"/>
  <c r="E82" i="19"/>
  <c r="B83" i="19"/>
  <c r="C83" i="19"/>
  <c r="D83" i="19"/>
  <c r="E83" i="19"/>
  <c r="B84" i="19"/>
  <c r="C84" i="19"/>
  <c r="D84" i="19"/>
  <c r="E84" i="19"/>
  <c r="B85" i="19"/>
  <c r="C85" i="19"/>
  <c r="D85" i="19"/>
  <c r="E85" i="19"/>
  <c r="B86" i="19"/>
  <c r="C86" i="19"/>
  <c r="D86" i="19"/>
  <c r="E86" i="19"/>
  <c r="B87" i="19"/>
  <c r="C87" i="19"/>
  <c r="D87" i="19"/>
  <c r="E87" i="19"/>
  <c r="B88" i="19"/>
  <c r="C88" i="19"/>
  <c r="D88" i="19"/>
  <c r="E88" i="19"/>
  <c r="B89" i="19"/>
  <c r="C89" i="19"/>
  <c r="D89" i="19"/>
  <c r="E89" i="19"/>
  <c r="B90" i="19"/>
  <c r="C90" i="19"/>
  <c r="D90" i="19"/>
  <c r="E90" i="19"/>
  <c r="B91" i="19"/>
  <c r="C91" i="19"/>
  <c r="D91" i="19"/>
  <c r="E91" i="19"/>
  <c r="B92" i="19"/>
  <c r="C92" i="19"/>
  <c r="D92" i="19"/>
  <c r="E92" i="19"/>
  <c r="B93" i="19"/>
  <c r="C93" i="19"/>
  <c r="D93" i="19"/>
  <c r="E93" i="19"/>
  <c r="B94" i="19"/>
  <c r="C94" i="19"/>
  <c r="D94" i="19"/>
  <c r="E94" i="19"/>
  <c r="B95" i="19"/>
  <c r="C95" i="19"/>
  <c r="D95" i="19"/>
  <c r="E95" i="19"/>
  <c r="B96" i="19"/>
  <c r="C96" i="19"/>
  <c r="D96" i="19"/>
  <c r="E96" i="19"/>
  <c r="B97" i="19"/>
  <c r="C97" i="19"/>
  <c r="D97" i="19"/>
  <c r="E97" i="19"/>
  <c r="B98" i="19"/>
  <c r="C98" i="19"/>
  <c r="D98" i="19"/>
  <c r="E98" i="19"/>
  <c r="B99" i="19"/>
  <c r="C99" i="19"/>
  <c r="D99" i="19"/>
  <c r="E99" i="19"/>
  <c r="B100" i="19"/>
  <c r="C100" i="19"/>
  <c r="D100" i="19"/>
  <c r="E100" i="19"/>
  <c r="B101" i="19"/>
  <c r="C101" i="19"/>
  <c r="D101" i="19"/>
  <c r="E101" i="19"/>
  <c r="B102" i="19"/>
  <c r="C102" i="19"/>
  <c r="D102" i="19"/>
  <c r="E102" i="19"/>
  <c r="C3" i="19"/>
  <c r="D3" i="19"/>
  <c r="E3" i="19"/>
  <c r="B3" i="19"/>
  <c r="A2" i="19"/>
  <c r="B2" i="19"/>
  <c r="C2" i="19"/>
  <c r="D2" i="19"/>
  <c r="E2" i="19"/>
  <c r="F2" i="19"/>
  <c r="I2" i="19"/>
  <c r="J2" i="19"/>
  <c r="K2" i="19"/>
  <c r="L2" i="19"/>
  <c r="M2" i="19"/>
  <c r="N2" i="19"/>
  <c r="Q2" i="19"/>
  <c r="R2" i="19"/>
  <c r="S2" i="19"/>
  <c r="T2" i="19"/>
  <c r="U2" i="19"/>
  <c r="V2" i="19"/>
  <c r="B1" i="19"/>
  <c r="C1" i="19"/>
  <c r="D1" i="19"/>
  <c r="E1" i="19"/>
  <c r="F1" i="19"/>
  <c r="I1" i="19"/>
  <c r="J1" i="19"/>
  <c r="K1" i="19"/>
  <c r="L1" i="19"/>
  <c r="M1" i="19"/>
  <c r="N1" i="19"/>
  <c r="Q1" i="19"/>
  <c r="R1" i="19"/>
  <c r="S1" i="19"/>
  <c r="T1" i="19"/>
  <c r="U1" i="19"/>
  <c r="V1" i="19"/>
  <c r="A1" i="19"/>
  <c r="V4" i="19"/>
  <c r="V5" i="19"/>
  <c r="V6" i="19"/>
  <c r="V7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23" i="19"/>
  <c r="V24" i="19"/>
  <c r="V25" i="19"/>
  <c r="V26" i="19"/>
  <c r="V27" i="19"/>
  <c r="V28" i="19"/>
  <c r="V29" i="19"/>
  <c r="V30" i="19"/>
  <c r="V31" i="19"/>
  <c r="V32" i="19"/>
  <c r="V33" i="19"/>
  <c r="V34" i="19"/>
  <c r="V35" i="19"/>
  <c r="V36" i="19"/>
  <c r="V37" i="19"/>
  <c r="V38" i="19"/>
  <c r="V39" i="19"/>
  <c r="V40" i="19"/>
  <c r="V41" i="19"/>
  <c r="V42" i="19"/>
  <c r="V43" i="19"/>
  <c r="V44" i="19"/>
  <c r="V45" i="19"/>
  <c r="V46" i="19"/>
  <c r="V47" i="19"/>
  <c r="V48" i="19"/>
  <c r="V49" i="19"/>
  <c r="V50" i="19"/>
  <c r="V51" i="19"/>
  <c r="V52" i="19"/>
  <c r="V53" i="19"/>
  <c r="V54" i="19"/>
  <c r="V55" i="19"/>
  <c r="V56" i="19"/>
  <c r="V57" i="19"/>
  <c r="V58" i="19"/>
  <c r="V59" i="19"/>
  <c r="V60" i="19"/>
  <c r="V61" i="19"/>
  <c r="V62" i="19"/>
  <c r="V63" i="19"/>
  <c r="V64" i="19"/>
  <c r="V65" i="19"/>
  <c r="V66" i="19"/>
  <c r="V67" i="19"/>
  <c r="V68" i="19"/>
  <c r="V69" i="19"/>
  <c r="V70" i="19"/>
  <c r="V71" i="19"/>
  <c r="V72" i="19"/>
  <c r="V73" i="19"/>
  <c r="V74" i="19"/>
  <c r="V75" i="19"/>
  <c r="V76" i="19"/>
  <c r="V77" i="19"/>
  <c r="V78" i="19"/>
  <c r="V79" i="19"/>
  <c r="V80" i="19"/>
  <c r="V81" i="19"/>
  <c r="V82" i="19"/>
  <c r="V83" i="19"/>
  <c r="V84" i="19"/>
  <c r="V85" i="19"/>
  <c r="V86" i="19"/>
  <c r="V87" i="19"/>
  <c r="V88" i="19"/>
  <c r="V89" i="19"/>
  <c r="V90" i="19"/>
  <c r="V91" i="19"/>
  <c r="V92" i="19"/>
  <c r="V93" i="19"/>
  <c r="V94" i="19"/>
  <c r="V3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3" i="19"/>
  <c r="C106" i="7"/>
  <c r="D106" i="7"/>
  <c r="E106" i="7"/>
  <c r="T8" i="10"/>
  <c r="R8" i="10"/>
  <c r="M7" i="10"/>
  <c r="M18" i="10"/>
  <c r="M19" i="10" s="1"/>
  <c r="O18" i="10"/>
  <c r="O19" i="10" s="1"/>
  <c r="P18" i="10"/>
  <c r="P19" i="10" s="1"/>
  <c r="Q18" i="10"/>
  <c r="R18" i="10"/>
  <c r="R20" i="10" s="1"/>
  <c r="S18" i="10"/>
  <c r="T18" i="10"/>
  <c r="T20" i="10" s="1"/>
  <c r="U18" i="10"/>
  <c r="V18" i="10"/>
  <c r="V20" i="10" s="1"/>
  <c r="M6" i="10"/>
  <c r="N18" i="10"/>
  <c r="N19" i="10" s="1"/>
  <c r="O6" i="10"/>
  <c r="O7" i="10" s="1"/>
  <c r="P6" i="10"/>
  <c r="P7" i="10" s="1"/>
  <c r="Q6" i="10"/>
  <c r="R6" i="10"/>
  <c r="S6" i="10"/>
  <c r="T6" i="10"/>
  <c r="U6" i="10"/>
  <c r="V6" i="10"/>
  <c r="V8" i="10" s="1"/>
  <c r="N6" i="10"/>
  <c r="N7" i="10" s="1"/>
  <c r="Q30" i="10"/>
  <c r="O30" i="10"/>
  <c r="O31" i="10" s="1"/>
  <c r="P30" i="10"/>
  <c r="P31" i="10" s="1"/>
  <c r="R30" i="10"/>
  <c r="R32" i="10" s="1"/>
  <c r="T30" i="10"/>
  <c r="T32" i="10" s="1"/>
  <c r="U30" i="10"/>
  <c r="V30" i="10"/>
  <c r="V32" i="10" s="1"/>
  <c r="M30" i="10"/>
  <c r="M31" i="10" s="1"/>
  <c r="N30" i="10"/>
  <c r="N31" i="10" s="1"/>
  <c r="Q4" i="20" l="1"/>
  <c r="R17" i="20"/>
  <c r="R18" i="20" s="1"/>
  <c r="R19" i="20" s="1"/>
  <c r="R20" i="20" s="1"/>
  <c r="R21" i="20" s="1"/>
  <c r="S3" i="20"/>
  <c r="T3" i="20"/>
  <c r="P22" i="20"/>
  <c r="Q5" i="20" l="1"/>
  <c r="Y19" i="20"/>
  <c r="P23" i="20"/>
  <c r="T4" i="20"/>
  <c r="S4" i="20"/>
  <c r="W3" i="20"/>
  <c r="W15" i="20"/>
  <c r="W2" i="20"/>
  <c r="W10" i="20"/>
  <c r="W8" i="20"/>
  <c r="W20" i="20"/>
  <c r="W13" i="20"/>
  <c r="W6" i="20"/>
  <c r="W18" i="20"/>
  <c r="W30" i="20"/>
  <c r="W11" i="20"/>
  <c r="W4" i="20"/>
  <c r="W16" i="20"/>
  <c r="W9" i="20"/>
  <c r="W21" i="20"/>
  <c r="W14" i="20"/>
  <c r="W7" i="20"/>
  <c r="W19" i="20"/>
  <c r="W12" i="20"/>
  <c r="W5" i="20"/>
  <c r="W17" i="20"/>
  <c r="Y5" i="20"/>
  <c r="Y17" i="20"/>
  <c r="Y10" i="20"/>
  <c r="Y12" i="20"/>
  <c r="Y3" i="20"/>
  <c r="Y15" i="20"/>
  <c r="Y8" i="20"/>
  <c r="Y20" i="20"/>
  <c r="Y13" i="20"/>
  <c r="Y6" i="20"/>
  <c r="Y18" i="20"/>
  <c r="Y11" i="20"/>
  <c r="Y4" i="20"/>
  <c r="Y16" i="20"/>
  <c r="Y9" i="20"/>
  <c r="Y21" i="20"/>
  <c r="Y14" i="20"/>
  <c r="Y2" i="20"/>
  <c r="Y7" i="20"/>
  <c r="W22" i="20"/>
  <c r="W23" i="20"/>
  <c r="W24" i="20"/>
  <c r="W27" i="20"/>
  <c r="W26" i="20"/>
  <c r="W28" i="20"/>
  <c r="W29" i="20"/>
  <c r="W25" i="20"/>
  <c r="R22" i="20"/>
  <c r="P24" i="20" l="1"/>
  <c r="S5" i="20"/>
  <c r="T5" i="20"/>
  <c r="Q6" i="20"/>
  <c r="R23" i="20"/>
  <c r="Y22" i="20"/>
  <c r="S6" i="20" l="1"/>
  <c r="P25" i="20"/>
  <c r="Q7" i="20"/>
  <c r="T6" i="20"/>
  <c r="R24" i="20"/>
  <c r="Y23" i="20"/>
  <c r="P26" i="20" l="1"/>
  <c r="Q8" i="20"/>
  <c r="T7" i="20"/>
  <c r="S7" i="20"/>
  <c r="R25" i="20"/>
  <c r="Y24" i="20"/>
  <c r="P27" i="20" l="1"/>
  <c r="T8" i="20"/>
  <c r="S8" i="20"/>
  <c r="Q9" i="20"/>
  <c r="R26" i="20"/>
  <c r="Y25" i="20"/>
  <c r="Q10" i="20" l="1"/>
  <c r="Q11" i="20" s="1"/>
  <c r="Q12" i="20" s="1"/>
  <c r="Q13" i="20" s="1"/>
  <c r="Q14" i="20" s="1"/>
  <c r="Q15" i="20" s="1"/>
  <c r="Q16" i="20" s="1"/>
  <c r="T9" i="20"/>
  <c r="P28" i="20"/>
  <c r="S9" i="20"/>
  <c r="R27" i="20"/>
  <c r="Y26" i="20"/>
  <c r="T10" i="20" l="1"/>
  <c r="P29" i="20"/>
  <c r="X8" i="20"/>
  <c r="X14" i="20"/>
  <c r="X13" i="20"/>
  <c r="X6" i="20"/>
  <c r="X16" i="20"/>
  <c r="X15" i="20"/>
  <c r="X7" i="20"/>
  <c r="X2" i="20"/>
  <c r="X5" i="20"/>
  <c r="X9" i="20"/>
  <c r="X11" i="20"/>
  <c r="X4" i="20"/>
  <c r="X3" i="20"/>
  <c r="X10" i="20"/>
  <c r="Q17" i="20"/>
  <c r="S10" i="20"/>
  <c r="X12" i="20"/>
  <c r="R28" i="20"/>
  <c r="Y27" i="20"/>
  <c r="Q18" i="20" l="1"/>
  <c r="X17" i="20"/>
  <c r="T11" i="20"/>
  <c r="S11" i="20"/>
  <c r="S12" i="20" s="1"/>
  <c r="S13" i="20" s="1"/>
  <c r="S14" i="20" s="1"/>
  <c r="S15" i="20" s="1"/>
  <c r="P30" i="20"/>
  <c r="R29" i="20"/>
  <c r="Y28" i="20"/>
  <c r="S17" i="20" l="1"/>
  <c r="T12" i="20"/>
  <c r="T13" i="20" s="1"/>
  <c r="T14" i="20" s="1"/>
  <c r="T15" i="20" s="1"/>
  <c r="T16" i="20" s="1"/>
  <c r="Q19" i="20"/>
  <c r="X18" i="20"/>
  <c r="R30" i="20"/>
  <c r="Y29" i="20"/>
  <c r="S18" i="20" l="1"/>
  <c r="S19" i="20" s="1"/>
  <c r="S20" i="20" s="1"/>
  <c r="S21" i="20" s="1"/>
  <c r="S22" i="20" s="1"/>
  <c r="S23" i="20" s="1"/>
  <c r="S24" i="20" s="1"/>
  <c r="S25" i="20" s="1"/>
  <c r="S26" i="20" s="1"/>
  <c r="S27" i="20" s="1"/>
  <c r="S28" i="20" s="1"/>
  <c r="S29" i="20" s="1"/>
  <c r="S30" i="20" s="1"/>
  <c r="S44" i="20" s="1"/>
  <c r="S56" i="20"/>
  <c r="S58" i="20"/>
  <c r="S49" i="20"/>
  <c r="S61" i="20"/>
  <c r="S57" i="20"/>
  <c r="S46" i="20"/>
  <c r="S54" i="20"/>
  <c r="S47" i="20"/>
  <c r="S59" i="20"/>
  <c r="S38" i="20"/>
  <c r="S50" i="20"/>
  <c r="S62" i="20"/>
  <c r="S41" i="20"/>
  <c r="S43" i="20"/>
  <c r="S55" i="20"/>
  <c r="S53" i="20"/>
  <c r="S34" i="20"/>
  <c r="S36" i="20"/>
  <c r="S48" i="20"/>
  <c r="S37" i="20"/>
  <c r="S35" i="20"/>
  <c r="S42" i="20"/>
  <c r="T17" i="20"/>
  <c r="T18" i="20" s="1"/>
  <c r="T19" i="20" s="1"/>
  <c r="T20" i="20" s="1"/>
  <c r="T21" i="20" s="1"/>
  <c r="T22" i="20" s="1"/>
  <c r="T23" i="20" s="1"/>
  <c r="T24" i="20" s="1"/>
  <c r="T25" i="20" s="1"/>
  <c r="T26" i="20" s="1"/>
  <c r="T27" i="20" s="1"/>
  <c r="T28" i="20" s="1"/>
  <c r="T29" i="20" s="1"/>
  <c r="T30" i="20" s="1"/>
  <c r="Q20" i="20"/>
  <c r="X19" i="20"/>
  <c r="Y30" i="20"/>
  <c r="Z22" i="20" l="1"/>
  <c r="Z11" i="20"/>
  <c r="Z10" i="20"/>
  <c r="Z29" i="20"/>
  <c r="Z21" i="20"/>
  <c r="S45" i="20"/>
  <c r="Z13" i="20" s="1"/>
  <c r="Z15" i="20"/>
  <c r="Z9" i="20"/>
  <c r="Z23" i="20"/>
  <c r="Z6" i="20"/>
  <c r="Z16" i="20"/>
  <c r="Z30" i="20"/>
  <c r="Z17" i="20"/>
  <c r="Z14" i="20"/>
  <c r="S52" i="20"/>
  <c r="Z20" i="20" s="1"/>
  <c r="S51" i="20"/>
  <c r="Z25" i="20"/>
  <c r="Z18" i="20"/>
  <c r="Z19" i="20"/>
  <c r="Z2" i="20"/>
  <c r="Z4" i="20"/>
  <c r="Z27" i="20"/>
  <c r="Z24" i="20"/>
  <c r="Z5" i="20"/>
  <c r="Z26" i="20"/>
  <c r="S60" i="20"/>
  <c r="Z28" i="20" s="1"/>
  <c r="S40" i="20"/>
  <c r="Z8" i="20" s="1"/>
  <c r="S39" i="20"/>
  <c r="Z7" i="20" s="1"/>
  <c r="Z3" i="20"/>
  <c r="Z12" i="20"/>
  <c r="Q21" i="20"/>
  <c r="X20" i="20"/>
  <c r="AA20" i="20"/>
  <c r="AA26" i="20"/>
  <c r="AA14" i="20"/>
  <c r="AA28" i="20"/>
  <c r="AA7" i="20"/>
  <c r="AA30" i="20"/>
  <c r="AA2" i="20"/>
  <c r="AA13" i="20"/>
  <c r="AA6" i="20"/>
  <c r="AA23" i="20"/>
  <c r="AA22" i="20"/>
  <c r="AA15" i="20"/>
  <c r="AA8" i="20"/>
  <c r="AA24" i="20"/>
  <c r="AA19" i="20"/>
  <c r="AA25" i="20"/>
  <c r="AA18" i="20"/>
  <c r="AA17" i="20"/>
  <c r="AA29" i="20"/>
  <c r="AA12" i="20"/>
  <c r="AA5" i="20"/>
  <c r="AA11" i="20"/>
  <c r="AA10" i="20"/>
  <c r="AA16" i="20"/>
  <c r="AA9" i="20"/>
  <c r="AA21" i="20"/>
  <c r="AA4" i="20"/>
  <c r="AA3" i="20"/>
  <c r="AA27" i="20"/>
  <c r="Q22" i="20" l="1"/>
  <c r="X21" i="20"/>
  <c r="Q23" i="20" l="1"/>
  <c r="X22" i="20"/>
  <c r="Q24" i="20" l="1"/>
  <c r="X23" i="20"/>
  <c r="Q25" i="20" l="1"/>
  <c r="X24" i="20"/>
  <c r="Q26" i="20" l="1"/>
  <c r="X25" i="20"/>
  <c r="X26" i="20" l="1"/>
  <c r="Q27" i="20"/>
  <c r="X27" i="20" l="1"/>
  <c r="Q28" i="20"/>
  <c r="X28" i="20" l="1"/>
  <c r="Q29" i="20"/>
  <c r="X29" i="20" l="1"/>
  <c r="Q30" i="20"/>
  <c r="X30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31EB39-42C9-47FE-89CB-F09821575F7C}" keepAlive="1" name="Lekérdezés - evaluation_run_0" description="A munkafüzetben levő „evaluation_run_0” lekérdezés kapcsolata" type="5" refreshedVersion="8" background="1" saveData="1">
    <dbPr connection="Provider=Microsoft.Mashup.OleDb.1;Data Source=$Workbook$;Location=evaluation_run_0;Extended Properties=&quot;&quot;" command="SELECT * FROM [evaluation_run_0]"/>
  </connection>
  <connection id="2" xr16:uid="{CAFD0414-EEA6-4DE6-9703-104659E00507}" keepAlive="1" name="Lekérdezés - evaluation_run_0 (2)" description="A munkafüzetben levő „evaluation_run_0 (2)” lekérdezés kapcsolata" type="5" refreshedVersion="8" background="1" saveData="1">
    <dbPr connection="Provider=Microsoft.Mashup.OleDb.1;Data Source=$Workbook$;Location=&quot;evaluation_run_0 (2)&quot;;Extended Properties=&quot;&quot;" command="SELECT * FROM [evaluation_run_0 (2)]"/>
  </connection>
  <connection id="3" xr16:uid="{68A25385-31DD-4D71-A88D-6D8F1DE9D143}" keepAlive="1" name="Lekérdezés - evaluation_run_0 (3)" description="A munkafüzetben levő „evaluation_run_0 (3)” lekérdezés kapcsolata" type="5" refreshedVersion="8" background="1" saveData="1">
    <dbPr connection="Provider=Microsoft.Mashup.OleDb.1;Data Source=$Workbook$;Location=&quot;evaluation_run_0 (3)&quot;;Extended Properties=&quot;&quot;" command="SELECT * FROM [evaluation_run_0 (3)]"/>
  </connection>
  <connection id="4" xr16:uid="{9755C63B-55C6-4F8F-B859-F81D9C022449}" keepAlive="1" name="Lekérdezés - evaluation_run_0 (4)" description="A munkafüzetben levő „evaluation_run_0 (4)” lekérdezés kapcsolata" type="5" refreshedVersion="0" background="1" saveData="1">
    <dbPr connection="Provider=Microsoft.Mashup.OleDb.1;Data Source=$Workbook$;Location=&quot;evaluation_run_0 (4)&quot;;Extended Properties=&quot;&quot;" command="SELECT * FROM [evaluation_run_0 (4)]"/>
  </connection>
  <connection id="5" xr16:uid="{5FB95F11-7A79-479C-8E63-081AA5344B6D}" keepAlive="1" name="Lekérdezés - evaluation_run_0 (5)" description="A munkafüzetben levő „evaluation_run_0 (5)” lekérdezés kapcsolata" type="5" refreshedVersion="8" background="1" saveData="1">
    <dbPr connection="Provider=Microsoft.Mashup.OleDb.1;Data Source=$Workbook$;Location=&quot;evaluation_run_0 (5)&quot;;Extended Properties=&quot;&quot;" command="SELECT * FROM [evaluation_run_0 (5)]"/>
  </connection>
  <connection id="6" xr16:uid="{1B87A150-C16F-48A3-ADFD-782005522143}" keepAlive="1" name="Lekérdezés - evaluation_run_0 (6)" description="A munkafüzetben levő „evaluation_run_0 (6)” lekérdezés kapcsolata" type="5" refreshedVersion="8" background="1" saveData="1">
    <dbPr connection="Provider=Microsoft.Mashup.OleDb.1;Data Source=$Workbook$;Location=&quot;evaluation_run_0 (6)&quot;;Extended Properties=&quot;&quot;" command="SELECT * FROM [evaluation_run_0 (6)]"/>
  </connection>
  <connection id="7" xr16:uid="{EC8E3C02-E139-485C-AD2F-BF132CC6709D}" keepAlive="1" name="Lekérdezés - evaluation_run_0 (7)" description="A munkafüzetben levő „evaluation_run_0 (7)” lekérdezés kapcsolata" type="5" refreshedVersion="0" background="1" saveData="1">
    <dbPr connection="Provider=Microsoft.Mashup.OleDb.1;Data Source=$Workbook$;Location=&quot;evaluation_run_0 (7)&quot;;Extended Properties=&quot;&quot;" command="SELECT * FROM [evaluation_run_0 (7)]"/>
  </connection>
  <connection id="8" xr16:uid="{DA6BAD27-E7EF-4D89-8284-AA80F3E02188}" keepAlive="1" name="Lekérdezés - result_population" description="A munkafüzetben levő „result_population” lekérdezés kapcsolata" type="5" refreshedVersion="8" background="1" saveData="1">
    <dbPr connection="Provider=Microsoft.Mashup.OleDb.1;Data Source=$Workbook$;Location=result_population;Extended Properties=&quot;&quot;" command="SELECT * FROM [result_population]"/>
  </connection>
  <connection id="9" xr16:uid="{4762EAE9-44B2-42F5-80E6-37F92A7AA722}" keepAlive="1" name="Lekérdezés - result_population (10)" description="A munkafüzetben levő „result_population (10)” lekérdezés kapcsolata" type="5" refreshedVersion="8" background="1" saveData="1">
    <dbPr connection="Provider=Microsoft.Mashup.OleDb.1;Data Source=$Workbook$;Location=&quot;result_population (10)&quot;;Extended Properties=&quot;&quot;" command="SELECT * FROM [result_population (10)]"/>
  </connection>
  <connection id="10" xr16:uid="{88281551-554F-434B-9CB5-B9B02F90F18A}" keepAlive="1" name="Lekérdezés - result_population (2)" description="A munkafüzetben levő „result_population (2)” lekérdezés kapcsolata" type="5" refreshedVersion="8" background="1" saveData="1">
    <dbPr connection="Provider=Microsoft.Mashup.OleDb.1;Data Source=$Workbook$;Location=&quot;result_population (2)&quot;;Extended Properties=&quot;&quot;" command="SELECT * FROM [result_population (2)]"/>
  </connection>
  <connection id="11" xr16:uid="{3CBED7D8-2511-4BB2-B4DE-B00294FB6CFB}" keepAlive="1" name="Lekérdezés - result_population (3)" description="A munkafüzetben levő „result_population (3)” lekérdezés kapcsolata" type="5" refreshedVersion="8" background="1" saveData="1">
    <dbPr connection="Provider=Microsoft.Mashup.OleDb.1;Data Source=$Workbook$;Location=&quot;result_population (3)&quot;;Extended Properties=&quot;&quot;" command="SELECT * FROM [result_population (3)]"/>
  </connection>
  <connection id="12" xr16:uid="{CD0A8A2D-D99A-42EB-B04D-DAD974E16270}" keepAlive="1" name="Lekérdezés - result_population (4)" description="A munkafüzetben levő „result_population (4)” lekérdezés kapcsolata" type="5" refreshedVersion="0" background="1" saveData="1">
    <dbPr connection="Provider=Microsoft.Mashup.OleDb.1;Data Source=$Workbook$;Location=&quot;result_population (4)&quot;;Extended Properties=&quot;&quot;" command="SELECT * FROM [result_population (4)]"/>
  </connection>
  <connection id="13" xr16:uid="{EC54D558-65D7-4756-960B-9CA8720D6E89}" keepAlive="1" name="Lekérdezés - result_population (5)" description="A munkafüzetben levő „result_population (5)” lekérdezés kapcsolata" type="5" refreshedVersion="8" background="1" saveData="1">
    <dbPr connection="Provider=Microsoft.Mashup.OleDb.1;Data Source=$Workbook$;Location=&quot;result_population (5)&quot;;Extended Properties=&quot;&quot;" command="SELECT * FROM [result_population (5)]"/>
  </connection>
  <connection id="14" xr16:uid="{6976673A-4EBB-4A34-8EA7-1193AF027A96}" keepAlive="1" name="Lekérdezés - result_population (6)" description="A munkafüzetben levő „result_population (6)” lekérdezés kapcsolata" type="5" refreshedVersion="0" background="1" saveData="1">
    <dbPr connection="Provider=Microsoft.Mashup.OleDb.1;Data Source=$Workbook$;Location=&quot;result_population (6)&quot;;Extended Properties=&quot;&quot;" command="SELECT * FROM [result_population (6)]"/>
  </connection>
  <connection id="15" xr16:uid="{986AEC8F-14DD-4CEA-BE98-20861A6588E4}" keepAlive="1" name="Lekérdezés - result_population (7)" description="A munkafüzetben levő „result_population (7)” lekérdezés kapcsolata" type="5" refreshedVersion="8" background="1" saveData="1">
    <dbPr connection="Provider=Microsoft.Mashup.OleDb.1;Data Source=$Workbook$;Location=&quot;result_population (7)&quot;;Extended Properties=&quot;&quot;" command="SELECT * FROM [result_population (7)]"/>
  </connection>
  <connection id="16" xr16:uid="{0B86B486-CC48-416D-973D-EC1295C4550F}" keepAlive="1" name="Lekérdezés - result_population (8)" description="A munkafüzetben levő „result_population (8)” lekérdezés kapcsolata" type="5" refreshedVersion="0" background="1" saveData="1">
    <dbPr connection="Provider=Microsoft.Mashup.OleDb.1;Data Source=$Workbook$;Location=&quot;result_population (8)&quot;;Extended Properties=&quot;&quot;" command="SELECT * FROM [result_population (8)]"/>
  </connection>
  <connection id="17" xr16:uid="{EE8CC562-6950-4BC7-A2FC-67CD1F174B35}" keepAlive="1" name="Lekérdezés - result_population (9)" description="A munkafüzetben levő „result_population (9)” lekérdezés kapcsolata" type="5" refreshedVersion="8" background="1" saveData="1">
    <dbPr connection="Provider=Microsoft.Mashup.OleDb.1;Data Source=$Workbook$;Location=&quot;result_population (9)&quot;;Extended Properties=&quot;&quot;" command="SELECT * FROM [result_population (9)]"/>
  </connection>
  <connection id="18" xr16:uid="{FBDDB36E-38F4-4B3A-9FDB-F255DC61E7C1}" keepAlive="1" name="Lekérdezés - variation_metrics" description="A munkafüzetben levő „variation_metrics” lekérdezés kapcsolata" type="5" refreshedVersion="8" background="1" saveData="1">
    <dbPr connection="Provider=Microsoft.Mashup.OleDb.1;Data Source=$Workbook$;Location=variation_metrics;Extended Properties=&quot;&quot;" command="SELECT * FROM [variation_metrics]"/>
  </connection>
  <connection id="19" xr16:uid="{696D1555-4C1A-4FCD-83A1-31A7FAE1BDE7}" keepAlive="1" name="Lekérdezés - variation_metrics (2)" description="A munkafüzetben levő „variation_metrics (2)” lekérdezés kapcsolata" type="5" refreshedVersion="8" background="1" saveData="1">
    <dbPr connection="Provider=Microsoft.Mashup.OleDb.1;Data Source=$Workbook$;Location=&quot;variation_metrics (2)&quot;;Extended Properties=&quot;&quot;" command="SELECT * FROM [variation_metrics (2)]"/>
  </connection>
  <connection id="20" xr16:uid="{EA12E509-C67A-4DC4-AF86-A200C948BE1E}" keepAlive="1" name="Lekérdezés - variation_metrics (3)" description="A munkafüzetben levő „variation_metrics (3)” lekérdezés kapcsolata" type="5" refreshedVersion="0" background="1" saveData="1">
    <dbPr connection="Provider=Microsoft.Mashup.OleDb.1;Data Source=$Workbook$;Location=&quot;variation_metrics (3)&quot;;Extended Properties=&quot;&quot;" command="SELECT * FROM [variation_metrics (3)]"/>
  </connection>
  <connection id="21" xr16:uid="{E8016433-4B70-4283-BE07-CA0C1DD3B172}" keepAlive="1" name="Lekérdezés - variation_metrics (4)" description="A munkafüzetben levő „variation_metrics (4)” lekérdezés kapcsolata" type="5" refreshedVersion="8" background="1" saveData="1">
    <dbPr connection="Provider=Microsoft.Mashup.OleDb.1;Data Source=$Workbook$;Location=&quot;variation_metrics (4)&quot;;Extended Properties=&quot;&quot;" command="SELECT * FROM [variation_metrics (4)]"/>
  </connection>
  <connection id="22" xr16:uid="{F0AAF9AE-8EFC-426C-A8C5-AF6328F0283A}" keepAlive="1" name="Lekérdezés - variation_metrics (5)" description="A munkafüzetben levő „variation_metrics (5)” lekérdezés kapcsolata" type="5" refreshedVersion="0" background="1" saveData="1">
    <dbPr connection="Provider=Microsoft.Mashup.OleDb.1;Data Source=$Workbook$;Location=&quot;variation_metrics (5)&quot;;Extended Properties=&quot;&quot;" command="SELECT * FROM [variation_metrics (5)]"/>
  </connection>
  <connection id="23" xr16:uid="{D0D9BCCC-DD94-45D6-BF49-C3C4C544B356}" keepAlive="1" name="Lekérdezés - variation_metrics (6)" description="A munkafüzetben levő „variation_metrics (6)” lekérdezés kapcsolata" type="5" refreshedVersion="0" background="1" saveData="1">
    <dbPr connection="Provider=Microsoft.Mashup.OleDb.1;Data Source=$Workbook$;Location=&quot;variation_metrics (6)&quot;;Extended Properties=&quot;&quot;" command="SELECT * FROM [variation_metrics (6)]"/>
  </connection>
  <connection id="24" xr16:uid="{97B0A099-EE41-4AE1-BCD0-F44E014E29EB}" keepAlive="1" name="Lekérdezés - variation_metrics (7)" description="A munkafüzetben levő „variation_metrics (7)” lekérdezés kapcsolata" type="5" refreshedVersion="0" background="1" saveData="1">
    <dbPr connection="Provider=Microsoft.Mashup.OleDb.1;Data Source=$Workbook$;Location=&quot;variation_metrics (7)&quot;;Extended Properties=&quot;&quot;" command="SELECT * FROM [variation_metrics (7)]"/>
  </connection>
</connections>
</file>

<file path=xl/sharedStrings.xml><?xml version="1.0" encoding="utf-8"?>
<sst xmlns="http://schemas.openxmlformats.org/spreadsheetml/2006/main" count="2713" uniqueCount="493">
  <si>
    <t>elapsed_nanos</t>
  </si>
  <si>
    <t>objective_0</t>
  </si>
  <si>
    <t>objective_1</t>
  </si>
  <si>
    <t>objective_2</t>
  </si>
  <si>
    <t>objective_3</t>
  </si>
  <si>
    <t>constraint</t>
  </si>
  <si>
    <t>0.0</t>
  </si>
  <si>
    <t>44.0</t>
  </si>
  <si>
    <t>-9.0</t>
  </si>
  <si>
    <t>-20.0</t>
  </si>
  <si>
    <t>9.0</t>
  </si>
  <si>
    <t>52.0</t>
  </si>
  <si>
    <t>-14.0</t>
  </si>
  <si>
    <t>-19.0</t>
  </si>
  <si>
    <t>8.0</t>
  </si>
  <si>
    <t>2.0</t>
  </si>
  <si>
    <t>24.0</t>
  </si>
  <si>
    <t>-6.0</t>
  </si>
  <si>
    <t>7.0</t>
  </si>
  <si>
    <t>12.0</t>
  </si>
  <si>
    <t>-7.0</t>
  </si>
  <si>
    <t>-21.0</t>
  </si>
  <si>
    <t>10.0</t>
  </si>
  <si>
    <t>4.0</t>
  </si>
  <si>
    <t>48.0</t>
  </si>
  <si>
    <t>-16.0</t>
  </si>
  <si>
    <t>-18.0</t>
  </si>
  <si>
    <t>46.0</t>
  </si>
  <si>
    <t>40.0</t>
  </si>
  <si>
    <t>-26.0</t>
  </si>
  <si>
    <t>-34.0</t>
  </si>
  <si>
    <t>6.0</t>
  </si>
  <si>
    <t>86.0</t>
  </si>
  <si>
    <t>5.0</t>
  </si>
  <si>
    <t>-22.0</t>
  </si>
  <si>
    <t>76.0</t>
  </si>
  <si>
    <t>-39.0</t>
  </si>
  <si>
    <t>-35.0</t>
  </si>
  <si>
    <t>3.0</t>
  </si>
  <si>
    <t>-41.0</t>
  </si>
  <si>
    <t>142.0</t>
  </si>
  <si>
    <t>-45.0</t>
  </si>
  <si>
    <t>170.0</t>
  </si>
  <si>
    <t>-46.0</t>
  </si>
  <si>
    <t>1.0</t>
  </si>
  <si>
    <t>200.0</t>
  </si>
  <si>
    <t>-47.0</t>
  </si>
  <si>
    <t>-8.0</t>
  </si>
  <si>
    <t>-3.0</t>
  </si>
  <si>
    <t>-10.0</t>
  </si>
  <si>
    <t>-4.0</t>
  </si>
  <si>
    <t>-11.0</t>
  </si>
  <si>
    <t>-12.0</t>
  </si>
  <si>
    <t>-13.0</t>
  </si>
  <si>
    <t>-5.0</t>
  </si>
  <si>
    <t>-15.0</t>
  </si>
  <si>
    <t>-17.0</t>
  </si>
  <si>
    <t>version,</t>
  </si>
  <si>
    <t>Obj1,</t>
  </si>
  <si>
    <t>Obj2,</t>
  </si>
  <si>
    <t>Obj3,</t>
  </si>
  <si>
    <t>Obj4,</t>
  </si>
  <si>
    <t>Constr1</t>
  </si>
  <si>
    <t>0,000000,</t>
  </si>
  <si>
    <t>1,000000,</t>
  </si>
  <si>
    <t>-23,000000,</t>
  </si>
  <si>
    <t>-22,000000,</t>
  </si>
  <si>
    <t>SOC MIN</t>
  </si>
  <si>
    <t>-7,000000,</t>
  </si>
  <si>
    <t>SOC_MAX</t>
  </si>
  <si>
    <t>CRA</t>
  </si>
  <si>
    <t>tools.refinery.store.dse.evolutionary.VersionVariable@a06f4c36,</t>
  </si>
  <si>
    <t>200,000000,</t>
  </si>
  <si>
    <t>-47,000000,</t>
  </si>
  <si>
    <t>tools.refinery.store.dse.evolutionary.VersionVariable@8a1a17,</t>
  </si>
  <si>
    <t>4,000000,</t>
  </si>
  <si>
    <t>-25,000000,</t>
  </si>
  <si>
    <t>tools.refinery.store.dse.evolutionary.VersionVariable@ea78d825,</t>
  </si>
  <si>
    <t>2,000000,</t>
  </si>
  <si>
    <t>36,000000,</t>
  </si>
  <si>
    <t>-44,000000,</t>
  </si>
  <si>
    <t>tools.refinery.store.dse.evolutionary.VersionVariable@f134318d,</t>
  </si>
  <si>
    <t>118,000000,</t>
  </si>
  <si>
    <t>-46,000000,</t>
  </si>
  <si>
    <t>tools.refinery.store.dse.evolutionary.VersionVariable@cac1d353,</t>
  </si>
  <si>
    <t>170,000000,</t>
  </si>
  <si>
    <t>tools.refinery.store.dse.evolutionary.VersionVariable@f6c9a5dc,</t>
  </si>
  <si>
    <t>54,000000,</t>
  </si>
  <si>
    <t>-45,000000,</t>
  </si>
  <si>
    <t>tools.refinery.store.dse.evolutionary.VersionVariable@e73db9b8,</t>
  </si>
  <si>
    <t>6,000000,</t>
  </si>
  <si>
    <t>-31,000000,</t>
  </si>
  <si>
    <t>tools.refinery.store.dse.evolutionary.VersionVariable@9b2db9ac,</t>
  </si>
  <si>
    <t>24,000000,</t>
  </si>
  <si>
    <t>-39,000000,</t>
  </si>
  <si>
    <t>tools.refinery.store.dse.evolutionary.VersionVariable@d22b89d2,</t>
  </si>
  <si>
    <t>52,000000,</t>
  </si>
  <si>
    <t>tools.refinery.store.dse.evolutionary.VersionVariable@fcb0adbd,</t>
  </si>
  <si>
    <t>70,000000,</t>
  </si>
  <si>
    <t>-43,000000,</t>
  </si>
  <si>
    <t>tools.refinery.store.dse.evolutionary.VersionVariable@e38d99fb,</t>
  </si>
  <si>
    <t>116,000000,</t>
  </si>
  <si>
    <t>tools.refinery.store.dse.evolutionary.VersionVariable@c8ebc240,</t>
  </si>
  <si>
    <t>92,000000,</t>
  </si>
  <si>
    <t>tools.refinery.store.dse.evolutionary.VersionVariable@9bc4fa85,</t>
  </si>
  <si>
    <t>12,000000,</t>
  </si>
  <si>
    <t>-35,000000,</t>
  </si>
  <si>
    <t>tools.refinery.store.dse.evolutionary.VersionVariable@f89f55fc,</t>
  </si>
  <si>
    <t>10,000000,</t>
  </si>
  <si>
    <t>-33,000000,</t>
  </si>
  <si>
    <t>tools.refinery.store.dse.evolutionary.VersionVariable@cb2b74a3,</t>
  </si>
  <si>
    <t>50,000000,</t>
  </si>
  <si>
    <t>-42,000000,</t>
  </si>
  <si>
    <t>tools.refinery.store.dse.evolutionary.VersionVariable@a2d68860,</t>
  </si>
  <si>
    <t>94,000000,</t>
  </si>
  <si>
    <t>tools.refinery.store.dse.evolutionary.VersionVariable@c442650e,</t>
  </si>
  <si>
    <t>16,000000,</t>
  </si>
  <si>
    <t>-37,000000,</t>
  </si>
  <si>
    <t>tools.refinery.store.dse.evolutionary.VersionVariable@da83add6,</t>
  </si>
  <si>
    <t>8,000000,</t>
  </si>
  <si>
    <t>-32,000000,</t>
  </si>
  <si>
    <t>tools.refinery.store.dse.evolutionary.VersionVariable@fe0db836,</t>
  </si>
  <si>
    <t>20,000000,</t>
  </si>
  <si>
    <t>-38,000000,</t>
  </si>
  <si>
    <t>tools.refinery.store.dse.evolutionary.VersionVariable@d9dcbd06,</t>
  </si>
  <si>
    <t>14,000000,</t>
  </si>
  <si>
    <t>-36,000000,</t>
  </si>
  <si>
    <t>tools.refinery.store.dse.evolutionary.VersionVariable@fffcc6a2,</t>
  </si>
  <si>
    <t>22,000000,</t>
  </si>
  <si>
    <t>-40,000000,</t>
  </si>
  <si>
    <t>tools.refinery.store.dse.evolutionary.VersionVariable@8b218c51,</t>
  </si>
  <si>
    <t>-41,000000,</t>
  </si>
  <si>
    <t>tools.refinery.store.dse.evolutionary.VersionVariable@8beee019,</t>
  </si>
  <si>
    <t>32,000000,</t>
  </si>
  <si>
    <t>tools.refinery.store.dse.evolutionary.VersionVariable@c776a1aa,</t>
  </si>
  <si>
    <t>34,000000,</t>
  </si>
  <si>
    <t>tools.refinery.store.dse.evolutionary.VersionVariable@ae20b577,</t>
  </si>
  <si>
    <t>tools.refinery.store.dse.evolutionary.VersionVariable@bcca7db8,</t>
  </si>
  <si>
    <t>crossover_nanos</t>
  </si>
  <si>
    <t>mutation_nanos</t>
  </si>
  <si>
    <t>eval_measurement_nanos</t>
  </si>
  <si>
    <t>total_cross</t>
  </si>
  <si>
    <t>success_cross</t>
  </si>
  <si>
    <t>total_mut</t>
  </si>
  <si>
    <t>success_mut</t>
  </si>
  <si>
    <t>total_eval</t>
  </si>
  <si>
    <t>success_eval</t>
  </si>
  <si>
    <t>total_nanos</t>
  </si>
  <si>
    <t>SOC MAX</t>
  </si>
  <si>
    <t>in sec</t>
  </si>
  <si>
    <t>rate</t>
  </si>
  <si>
    <t>Obj5,</t>
  </si>
  <si>
    <t>Obj6,</t>
  </si>
  <si>
    <t>tools.refinery.store.dse.evolutionary.VersionVariable@9ead27f4,</t>
  </si>
  <si>
    <t>tools.refinery.store.dse.evolutionary.VersionVariable@ea404534,</t>
  </si>
  <si>
    <t>9,000000,</t>
  </si>
  <si>
    <t>-15,000000,</t>
  </si>
  <si>
    <t>tools.refinery.store.dse.evolutionary.VersionVariable@a5fad7f9,</t>
  </si>
  <si>
    <t>7,000000,</t>
  </si>
  <si>
    <t>-17,000000,</t>
  </si>
  <si>
    <t>tools.refinery.store.dse.evolutionary.VersionVariable@f8c6167e,</t>
  </si>
  <si>
    <t>-21,000000,</t>
  </si>
  <si>
    <t>tools.refinery.store.dse.evolutionary.VersionVariable@f968a3ae,</t>
  </si>
  <si>
    <t>tools.refinery.store.dse.evolutionary.VersionVariable@8dc3ba92,</t>
  </si>
  <si>
    <t>tools.refinery.store.dse.evolutionary.VersionVariable@278b679,</t>
  </si>
  <si>
    <t>tools.refinery.store.dse.evolutionary.VersionVariable@b7995b53,</t>
  </si>
  <si>
    <t>3,000000,</t>
  </si>
  <si>
    <t>tools.refinery.store.dse.evolutionary.VersionVariable@9667c13a,</t>
  </si>
  <si>
    <t>tools.refinery.store.dse.evolutionary.VersionVariable@b93d449a,</t>
  </si>
  <si>
    <t>tools.refinery.store.dse.evolutionary.VersionVariable@a23fd59f,</t>
  </si>
  <si>
    <t>13,000000,</t>
  </si>
  <si>
    <t>5,000000,</t>
  </si>
  <si>
    <t>tools.refinery.store.dse.evolutionary.VersionVariable@eab9b622,</t>
  </si>
  <si>
    <t>15,000000,</t>
  </si>
  <si>
    <t>-30,000000,</t>
  </si>
  <si>
    <t>tools.refinery.store.dse.evolutionary.VersionVariable@b3fcf11a,</t>
  </si>
  <si>
    <t>tools.refinery.store.dse.evolutionary.VersionVariable@fffd07de,</t>
  </si>
  <si>
    <t>tools.refinery.store.dse.evolutionary.VersionVariable@f0445db8,</t>
  </si>
  <si>
    <t>tools.refinery.store.dse.evolutionary.VersionVariable@daa6233e,</t>
  </si>
  <si>
    <t>tools.refinery.store.dse.evolutionary.VersionVariable@9582fe7f,</t>
  </si>
  <si>
    <t>tools.refinery.store.dse.evolutionary.VersionVariable@9620bd0b,</t>
  </si>
  <si>
    <t>-29,000000,</t>
  </si>
  <si>
    <t>tools.refinery.store.dse.evolutionary.VersionVariable@d064113b,</t>
  </si>
  <si>
    <t>tools.refinery.store.dse.evolutionary.VersionVariable@b61e3928,</t>
  </si>
  <si>
    <t>-19,000000,</t>
  </si>
  <si>
    <t>tools.refinery.store.dse.evolutionary.VersionVariable@905f1473,</t>
  </si>
  <si>
    <t>tools.refinery.store.dse.evolutionary.VersionVariable@8f8656cf,</t>
  </si>
  <si>
    <t>11,000000,</t>
  </si>
  <si>
    <t>tools.refinery.store.dse.evolutionary.VersionVariable@f2e7d27b,</t>
  </si>
  <si>
    <t>-20,000000,</t>
  </si>
  <si>
    <t>tools.refinery.store.dse.evolutionary.VersionVariable@c826a46f,</t>
  </si>
  <si>
    <t>-34,000000,</t>
  </si>
  <si>
    <t>tools.refinery.store.dse.evolutionary.VersionVariable@c441410b,</t>
  </si>
  <si>
    <t>tools.refinery.store.dse.evolutionary.VersionVariable@8d4e744d,</t>
  </si>
  <si>
    <t>tools.refinery.store.dse.evolutionary.VersionVariable@abf5543c,</t>
  </si>
  <si>
    <t>tools.refinery.store.dse.evolutionary.VersionVariable@ac0fdada,</t>
  </si>
  <si>
    <t>18,000000,</t>
  </si>
  <si>
    <t>tools.refinery.store.dse.evolutionary.VersionVariable@959e6018,</t>
  </si>
  <si>
    <t>tools.refinery.store.dse.evolutionary.VersionVariable@fef0078e,</t>
  </si>
  <si>
    <t>tools.refinery.store.dse.evolutionary.VersionVariable@ed0dc60e,</t>
  </si>
  <si>
    <t>-28,000000,</t>
  </si>
  <si>
    <t>tools.refinery.store.dse.evolutionary.VersionVariable@d2c004d2,</t>
  </si>
  <si>
    <t>tools.refinery.store.dse.evolutionary.VersionVariable@c7d6a978,</t>
  </si>
  <si>
    <t>tools.refinery.store.dse.evolutionary.VersionVariable@cca24f92,</t>
  </si>
  <si>
    <t>tools.refinery.store.dse.evolutionary.VersionVariable@e093084c,</t>
  </si>
  <si>
    <t>tools.refinery.store.dse.evolutionary.VersionVariable@a01501eb,</t>
  </si>
  <si>
    <t>-26,000000,</t>
  </si>
  <si>
    <t>tools.refinery.store.dse.evolutionary.VersionVariable@9fe6e6d9,</t>
  </si>
  <si>
    <t>tools.refinery.store.dse.evolutionary.VersionVariable@d26b7356,</t>
  </si>
  <si>
    <t>tools.refinery.store.dse.evolutionary.VersionVariable@c96f186b,</t>
  </si>
  <si>
    <t>tools.refinery.store.dse.evolutionary.VersionVariable@a1ec3ee2,</t>
  </si>
  <si>
    <t>tools.refinery.store.dse.evolutionary.VersionVariable@d8666175,</t>
  </si>
  <si>
    <t>tools.refinery.store.dse.evolutionary.VersionVariable@ed1d9599,</t>
  </si>
  <si>
    <t>tools.refinery.store.dse.evolutionary.VersionVariable@e812b410,</t>
  </si>
  <si>
    <t>26,000000,</t>
  </si>
  <si>
    <t>tools.refinery.store.dse.evolutionary.VersionVariable@b7384245,</t>
  </si>
  <si>
    <t>tools.refinery.store.dse.evolutionary.VersionVariable@e9a4c639,</t>
  </si>
  <si>
    <t>tools.refinery.store.dse.evolutionary.VersionVariable@d40309f8,</t>
  </si>
  <si>
    <t>42,000000,</t>
  </si>
  <si>
    <t>tools.refinery.store.dse.evolutionary.VersionVariable@94e9d3a6,</t>
  </si>
  <si>
    <t>tools.refinery.store.dse.evolutionary.VersionVariable@f71a9374,</t>
  </si>
  <si>
    <t>tools.refinery.store.dse.evolutionary.VersionVariable@a75ffff4,</t>
  </si>
  <si>
    <t>tools.refinery.store.dse.evolutionary.VersionVariable@2252f8,</t>
  </si>
  <si>
    <t>tools.refinery.store.dse.evolutionary.VersionVariable@af0030fc,</t>
  </si>
  <si>
    <t>tools.refinery.store.dse.evolutionary.VersionVariable@8bf77cfa,</t>
  </si>
  <si>
    <t>tools.refinery.store.dse.evolutionary.VersionVariable@f242ef3e,</t>
  </si>
  <si>
    <t>tools.refinery.store.dse.evolutionary.VersionVariable@d00d3dd1,</t>
  </si>
  <si>
    <t>tools.refinery.store.dse.evolutionary.VersionVariable@ddb1f822,</t>
  </si>
  <si>
    <t>tools.refinery.store.dse.evolutionary.VersionVariable@9d482ab5,</t>
  </si>
  <si>
    <t>tools.refinery.store.dse.evolutionary.VersionVariable@e41287d9,</t>
  </si>
  <si>
    <t>tools.refinery.store.dse.evolutionary.VersionVariable@f8c2aa8a,</t>
  </si>
  <si>
    <t>tools.refinery.store.dse.evolutionary.VersionVariable@ac629fa2,</t>
  </si>
  <si>
    <t>-27,000000,</t>
  </si>
  <si>
    <t>tools.refinery.store.dse.evolutionary.VersionVariable@41ff55e,</t>
  </si>
  <si>
    <t>tools.refinery.store.dse.evolutionary.VersionVariable@c6e800a1,</t>
  </si>
  <si>
    <t>tools.refinery.store.dse.evolutionary.VersionVariable@d78a45d9,</t>
  </si>
  <si>
    <t>tools.refinery.store.dse.evolutionary.VersionVariable@fbada132,</t>
  </si>
  <si>
    <t>tools.refinery.store.dse.evolutionary.VersionVariable@8c535ceb,</t>
  </si>
  <si>
    <t>40,000000,</t>
  </si>
  <si>
    <t>tools.refinery.store.dse.evolutionary.VersionVariable@bb263938,</t>
  </si>
  <si>
    <t>tools.refinery.store.dse.evolutionary.VersionVariable@bc384546,</t>
  </si>
  <si>
    <t>objective_4</t>
  </si>
  <si>
    <t>objective_5</t>
  </si>
  <si>
    <t>72.0</t>
  </si>
  <si>
    <t>-31.0</t>
  </si>
  <si>
    <t>60.0</t>
  </si>
  <si>
    <t>-30.0</t>
  </si>
  <si>
    <t>110.0</t>
  </si>
  <si>
    <t>-33.0</t>
  </si>
  <si>
    <t>70.0</t>
  </si>
  <si>
    <t>-42.0</t>
  </si>
  <si>
    <t>134.0</t>
  </si>
  <si>
    <t>118.0</t>
  </si>
  <si>
    <t>-43.0</t>
  </si>
  <si>
    <t>150.0</t>
  </si>
  <si>
    <t>148.0</t>
  </si>
  <si>
    <t>11.0</t>
  </si>
  <si>
    <t>tools.refinery.store.dse.evolutionary.VersionVariable@e1b8f160,</t>
  </si>
  <si>
    <t>tools.refinery.store.dse.evolutionary.VersionVariable@b7c1ce97,</t>
  </si>
  <si>
    <t>-6,000000,</t>
  </si>
  <si>
    <t>tools.refinery.store.dse.evolutionary.VersionVariable@2f19fb8,</t>
  </si>
  <si>
    <t>-18,000000,</t>
  </si>
  <si>
    <t>tools.refinery.store.dse.evolutionary.VersionVariable@eda739cb,</t>
  </si>
  <si>
    <t>-13,000000,</t>
  </si>
  <si>
    <t>tools.refinery.store.dse.evolutionary.VersionVariable@dbde9e30,</t>
  </si>
  <si>
    <t>tools.refinery.store.dse.evolutionary.VersionVariable@ee57974b,</t>
  </si>
  <si>
    <t>tools.refinery.store.dse.evolutionary.VersionVariable@94dd8f48,</t>
  </si>
  <si>
    <t>-8,000000,</t>
  </si>
  <si>
    <t>tools.refinery.store.dse.evolutionary.VersionVariable@b53cc39a,</t>
  </si>
  <si>
    <t>tools.refinery.store.dse.evolutionary.VersionVariable@90bf3123,</t>
  </si>
  <si>
    <t>tools.refinery.store.dse.evolutionary.VersionVariable@af2c8019,</t>
  </si>
  <si>
    <t>-14,000000,</t>
  </si>
  <si>
    <t>tools.refinery.store.dse.evolutionary.VersionVariable@e2389f43,</t>
  </si>
  <si>
    <t>tools.refinery.store.dse.evolutionary.VersionVariable@a5b913ba,</t>
  </si>
  <si>
    <t>-12,000000,</t>
  </si>
  <si>
    <t>tools.refinery.store.dse.evolutionary.VersionVariable@a1d75523,</t>
  </si>
  <si>
    <t>-10,000000,</t>
  </si>
  <si>
    <t>tools.refinery.store.dse.evolutionary.VersionVariable@d9e2a9e9,</t>
  </si>
  <si>
    <t>tools.refinery.store.dse.evolutionary.VersionVariable@d03a8987,</t>
  </si>
  <si>
    <t>tools.refinery.store.dse.evolutionary.VersionVariable@92335246,</t>
  </si>
  <si>
    <t>-9,000000,</t>
  </si>
  <si>
    <t>tools.refinery.store.dse.evolutionary.VersionVariable@de55bc8c,</t>
  </si>
  <si>
    <t>-11,000000,</t>
  </si>
  <si>
    <t>tools.refinery.store.dse.evolutionary.VersionVariable@a3d622a7,</t>
  </si>
  <si>
    <t>tools.refinery.store.dse.evolutionary.VersionVariable@8afd008e,</t>
  </si>
  <si>
    <t>-16,000000,</t>
  </si>
  <si>
    <t>tools.refinery.store.dse.evolutionary.VersionVariable@b7885d51,</t>
  </si>
  <si>
    <t>tools.refinery.store.dse.evolutionary.VersionVariable@d83c6499,</t>
  </si>
  <si>
    <t>tools.refinery.store.dse.evolutionary.VersionVariable@f7f7588e,</t>
  </si>
  <si>
    <t>tools.refinery.store.dse.evolutionary.VersionVariable@a8765c7a,</t>
  </si>
  <si>
    <t>tools.refinery.store.dse.evolutionary.VersionVariable@91787b6,</t>
  </si>
  <si>
    <t>tools.refinery.store.dse.evolutionary.VersionVariable@e6c421b5,</t>
  </si>
  <si>
    <t>tools.refinery.store.dse.evolutionary.VersionVariable@b4ee00,</t>
  </si>
  <si>
    <t>tools.refinery.store.dse.evolutionary.VersionVariable@df218c13,</t>
  </si>
  <si>
    <t>tools.refinery.store.dse.evolutionary.VersionVariable@f8fac7fb,</t>
  </si>
  <si>
    <t>tools.refinery.store.dse.evolutionary.VersionVariable@a240e3b7,</t>
  </si>
  <si>
    <t>tools.refinery.store.dse.evolutionary.VersionVariable@e7fe14e3,</t>
  </si>
  <si>
    <t>tools.refinery.store.dse.evolutionary.VersionVariable@a71fb6ab,</t>
  </si>
  <si>
    <t>tools.refinery.store.dse.evolutionary.VersionVariable@b795af36,</t>
  </si>
  <si>
    <t>tools.refinery.store.dse.evolutionary.VersionVariable@aee65b55,</t>
  </si>
  <si>
    <t>tools.refinery.store.dse.evolutionary.VersionVariable@8b370f51,</t>
  </si>
  <si>
    <t>tools.refinery.store.dse.evolutionary.VersionVariable@a52f350e,</t>
  </si>
  <si>
    <t>tools.refinery.store.dse.evolutionary.VersionVariable@8b8a0f27,</t>
  </si>
  <si>
    <t>tools.refinery.store.dse.evolutionary.VersionVariable@a2ac44bf,</t>
  </si>
  <si>
    <t>tools.refinery.store.dse.evolutionary.VersionVariable@e5403c8c,</t>
  </si>
  <si>
    <t>tools.refinery.store.dse.evolutionary.VersionVariable@cd8ae895,</t>
  </si>
  <si>
    <t>tools.refinery.store.dse.evolutionary.VersionVariable@a2a8e95c,</t>
  </si>
  <si>
    <t>tools.refinery.store.dse.evolutionary.VersionVariable@f555f2b3,</t>
  </si>
  <si>
    <t>tools.refinery.store.dse.evolutionary.VersionVariable@c52669ea,</t>
  </si>
  <si>
    <t>tools.refinery.store.dse.evolutionary.VersionVariable@a2297308,</t>
  </si>
  <si>
    <t>tools.refinery.store.dse.evolutionary.VersionVariable@da5fb937,</t>
  </si>
  <si>
    <t>tools.refinery.store.dse.evolutionary.VersionVariable@8bb4f30d,</t>
  </si>
  <si>
    <t>tools.refinery.store.dse.evolutionary.VersionVariable@8f394e9d,</t>
  </si>
  <si>
    <t>tools.refinery.store.dse.evolutionary.VersionVariable@d2a785a1,</t>
  </si>
  <si>
    <t>tools.refinery.store.dse.evolutionary.VersionVariable@a99785ce,</t>
  </si>
  <si>
    <t>tools.refinery.store.dse.evolutionary.VersionVariable@b646de17,</t>
  </si>
  <si>
    <t>tools.refinery.store.dse.evolutionary.VersionVariable@710451c,</t>
  </si>
  <si>
    <t>tools.refinery.store.dse.evolutionary.VersionVariable@fa7d5733,</t>
  </si>
  <si>
    <t>tools.refinery.store.dse.evolutionary.VersionVariable@b3d69d34,</t>
  </si>
  <si>
    <t>tools.refinery.store.dse.evolutionary.VersionVariable@cffcbca5,</t>
  </si>
  <si>
    <t>tools.refinery.store.dse.evolutionary.VersionVariable@b9bb39b3,</t>
  </si>
  <si>
    <t>tools.refinery.store.dse.evolutionary.VersionVariable@be501660,</t>
  </si>
  <si>
    <t>tools.refinery.store.dse.evolutionary.VersionVariable@aa33eaf5,</t>
  </si>
  <si>
    <t>tools.refinery.store.dse.evolutionary.VersionVariable@93a253d5,</t>
  </si>
  <si>
    <t>tools.refinery.store.dse.evolutionary.VersionVariable@e4865b06,</t>
  </si>
  <si>
    <t>tools.refinery.store.dse.evolutionary.VersionVariable@edd74913,</t>
  </si>
  <si>
    <t>tools.refinery.store.dse.evolutionary.VersionVariable@f6d08d2a,</t>
  </si>
  <si>
    <t>tools.refinery.store.dse.evolutionary.VersionVariable@1bac3bb,</t>
  </si>
  <si>
    <t>tools.refinery.store.dse.evolutionary.VersionVariable@a86e7725,</t>
  </si>
  <si>
    <t>tools.refinery.store.dse.evolutionary.VersionVariable@c2f4ea0e,</t>
  </si>
  <si>
    <t>tools.refinery.store.dse.evolutionary.VersionVariable@e4410f91,</t>
  </si>
  <si>
    <t>tools.refinery.store.dse.evolutionary.VersionVariable@7240210,</t>
  </si>
  <si>
    <t>tools.refinery.store.dse.evolutionary.VersionVariable@a87ea850,</t>
  </si>
  <si>
    <t>tools.refinery.store.dse.evolutionary.VersionVariable@a1ac6cab,</t>
  </si>
  <si>
    <t>tools.refinery.store.dse.evolutionary.VersionVariable@e93d887f,</t>
  </si>
  <si>
    <t>tools.refinery.store.dse.evolutionary.VersionVariable@95416d12,</t>
  </si>
  <si>
    <t>tools.refinery.store.dse.evolutionary.VersionVariable@f5817058,</t>
  </si>
  <si>
    <t>tools.refinery.store.dse.evolutionary.VersionVariable@9af60098,</t>
  </si>
  <si>
    <t>tools.refinery.store.dse.evolutionary.VersionVariable@c4c14ff2,</t>
  </si>
  <si>
    <t>tools.refinery.store.dse.evolutionary.VersionVariable@af3a196b,</t>
  </si>
  <si>
    <t>tools.refinery.store.dse.evolutionary.VersionVariable@e4c60175,</t>
  </si>
  <si>
    <t>tools.refinery.store.dse.evolutionary.VersionVariable@fcf9916e,</t>
  </si>
  <si>
    <t>tools.refinery.store.dse.evolutionary.VersionVariable@e60a54e3,</t>
  </si>
  <si>
    <t>tools.refinery.store.dse.evolutionary.VersionVariable@ad06c7df,</t>
  </si>
  <si>
    <t>tools.refinery.store.dse.evolutionary.VersionVariable@cb4a2b36,</t>
  </si>
  <si>
    <t>tools.refinery.store.dse.evolutionary.VersionVariable@ee7ae027,</t>
  </si>
  <si>
    <t>tools.refinery.store.dse.evolutionary.VersionVariable@edf1d72a,</t>
  </si>
  <si>
    <t>tools.refinery.store.dse.evolutionary.VersionVariable@292f0a1,</t>
  </si>
  <si>
    <t>tools.refinery.store.dse.evolutionary.VersionVariable@ec11981c,</t>
  </si>
  <si>
    <t>tools.refinery.store.dse.evolutionary.VersionVariable@f032e137,</t>
  </si>
  <si>
    <t>tools.refinery.store.dse.evolutionary.VersionVariable@a48c65aa,</t>
  </si>
  <si>
    <t>tools.refinery.store.dse.evolutionary.VersionVariable@cd00d267,</t>
  </si>
  <si>
    <t>tools.refinery.store.dse.evolutionary.VersionVariable@c0d96385,</t>
  </si>
  <si>
    <t>tools.refinery.store.dse.evolutionary.VersionVariable@fb8e5458,</t>
  </si>
  <si>
    <t>tools.refinery.store.dse.evolutionary.VersionVariable@915d6a9d,</t>
  </si>
  <si>
    <t>tools.refinery.store.dse.evolutionary.VersionVariable@de9de456,</t>
  </si>
  <si>
    <t>tools.refinery.store.dse.evolutionary.VersionVariable@c19ec4f8,</t>
  </si>
  <si>
    <t>tools.refinery.store.dse.evolutionary.VersionVariable@c49c8c52,</t>
  </si>
  <si>
    <t>tools.refinery.store.dse.evolutionary.VersionVariable@d1e2646b,</t>
  </si>
  <si>
    <t>tools.refinery.store.dse.evolutionary.VersionVariable@edcf7872,</t>
  </si>
  <si>
    <t>tools.refinery.store.dse.evolutionary.VersionVariable@b681153f,</t>
  </si>
  <si>
    <t>tools.refinery.store.dse.evolutionary.VersionVariable@2134f03,</t>
  </si>
  <si>
    <t>tools.refinery.store.dse.evolutionary.VersionVariable@b601ed51,</t>
  </si>
  <si>
    <t>tools.refinery.store.dse.evolutionary.VersionVariable@d710eb90,</t>
  </si>
  <si>
    <t>tools.refinery.store.dse.evolutionary.VersionVariable@fd8851aa,</t>
  </si>
  <si>
    <t>tools.refinery.store.dse.evolutionary.VersionVariable@b8f396eb,</t>
  </si>
  <si>
    <t>tools.refinery.store.dse.evolutionary.VersionVariable@a46419af,</t>
  </si>
  <si>
    <t>tools.refinery.store.dse.evolutionary.VersionVariable@f91f1e0c,</t>
  </si>
  <si>
    <t>-5,000000,</t>
  </si>
  <si>
    <t>tools.refinery.store.dse.evolutionary.VersionVariable@de4ec8d7,</t>
  </si>
  <si>
    <t>tools.refinery.store.dse.evolutionary.VersionVariable@e0a642bf,</t>
  </si>
  <si>
    <t>tools.refinery.store.dse.evolutionary.VersionVariable@e6fbf862,</t>
  </si>
  <si>
    <t>tools.refinery.store.dse.evolutionary.VersionVariable@8dbf6e6,</t>
  </si>
  <si>
    <t>-4,000000,</t>
  </si>
  <si>
    <t>tools.refinery.store.dse.evolutionary.VersionVariable@de9c507f,</t>
  </si>
  <si>
    <t>tools.refinery.store.dse.evolutionary.VersionVariable@c3636b18,</t>
  </si>
  <si>
    <t>-3,000000,</t>
  </si>
  <si>
    <t>tools.refinery.store.dse.evolutionary.VersionVariable@96ec96fd,</t>
  </si>
  <si>
    <t>tools.refinery.store.dse.evolutionary.VersionVariable@a590ea7d,</t>
  </si>
  <si>
    <t>tools.refinery.store.dse.evolutionary.VersionVariable@acb4e3ef,</t>
  </si>
  <si>
    <t>tools.refinery.store.dse.evolutionary.VersionVariable@c8d6f204,</t>
  </si>
  <si>
    <t>tools.refinery.store.dse.evolutionary.VersionVariable@e5c2beb5,</t>
  </si>
  <si>
    <t>tools.refinery.store.dse.evolutionary.VersionVariable@e0a9470d,</t>
  </si>
  <si>
    <t>tools.refinery.store.dse.evolutionary.VersionVariable@ced21f53,</t>
  </si>
  <si>
    <t>tools.refinery.store.dse.evolutionary.VersionVariable@c577c20d,</t>
  </si>
  <si>
    <t>tools.refinery.store.dse.evolutionary.VersionVariable@1ea6e98,</t>
  </si>
  <si>
    <t>tools.refinery.store.dse.evolutionary.VersionVariable@6cfe2a7,</t>
  </si>
  <si>
    <t>tools.refinery.store.dse.evolutionary.VersionVariable@ac2493f8,</t>
  </si>
  <si>
    <t>tools.refinery.store.dse.evolutionary.VersionVariable@e82b59c9,</t>
  </si>
  <si>
    <t>tools.refinery.store.dse.evolutionary.VersionVariable@56ecbc3,</t>
  </si>
  <si>
    <t>tools.refinery.store.dse.evolutionary.VersionVariable@98052037,</t>
  </si>
  <si>
    <t>tools.refinery.store.dse.evolutionary.VersionVariable@8c1157bd,</t>
  </si>
  <si>
    <t>tools.refinery.store.dse.evolutionary.VersionVariable@c20e7fc2,</t>
  </si>
  <si>
    <t>tools.refinery.store.dse.evolutionary.VersionVariable@cd9ec2e8,</t>
  </si>
  <si>
    <t>tools.refinery.store.dse.evolutionary.VersionVariable@95946cc,</t>
  </si>
  <si>
    <t>tools.refinery.store.dse.evolutionary.VersionVariable@f364818e,</t>
  </si>
  <si>
    <t>tools.refinery.store.dse.evolutionary.VersionVariable@b6335e02,</t>
  </si>
  <si>
    <t>tools.refinery.store.dse.evolutionary.VersionVariable@9a42b84d,</t>
  </si>
  <si>
    <t>tools.refinery.store.dse.evolutionary.VersionVariable@c624dc78,</t>
  </si>
  <si>
    <t>tools.refinery.store.dse.evolutionary.VersionVariable@1ed3152,</t>
  </si>
  <si>
    <t>tools.refinery.store.dse.evolutionary.VersionVariable@f9de560f,</t>
  </si>
  <si>
    <t>tools.refinery.store.dse.evolutionary.VersionVariable@90b1ed1,</t>
  </si>
  <si>
    <t>tools.refinery.store.dse.evolutionary.VersionVariable@fd6650dd,</t>
  </si>
  <si>
    <t>tools.refinery.store.dse.evolutionary.VersionVariable@263e9f0,</t>
  </si>
  <si>
    <t>tools.refinery.store.dse.evolutionary.VersionVariable@fdf9d3af,</t>
  </si>
  <si>
    <t>tools.refinery.store.dse.evolutionary.VersionVariable@f2d81662,</t>
  </si>
  <si>
    <t>tools.refinery.store.dse.evolutionary.VersionVariable@b013dec9,</t>
  </si>
  <si>
    <t>tools.refinery.store.dse.evolutionary.VersionVariable@ab8923,</t>
  </si>
  <si>
    <t>tools.refinery.store.dse.evolutionary.VersionVariable@e400230d,</t>
  </si>
  <si>
    <t>tools.refinery.store.dse.evolutionary.VersionVariable@2ea091e,</t>
  </si>
  <si>
    <t>tools.refinery.store.dse.evolutionary.VersionVariable@1220d91,</t>
  </si>
  <si>
    <t>tools.refinery.store.dse.evolutionary.VersionVariable@ee994391,</t>
  </si>
  <si>
    <t>tools.refinery.store.dse.evolutionary.VersionVariable@bddd43e4,</t>
  </si>
  <si>
    <t>tools.refinery.store.dse.evolutionary.VersionVariable@9e728f0c,</t>
  </si>
  <si>
    <t>tools.refinery.store.dse.evolutionary.VersionVariable@2f2d9ff,</t>
  </si>
  <si>
    <t>tools.refinery.store.dse.evolutionary.VersionVariable@d87f7486,</t>
  </si>
  <si>
    <t>tools.refinery.store.dse.evolutionary.VersionVariable@93a46adc,</t>
  </si>
  <si>
    <t>tools.refinery.store.dse.evolutionary.VersionVariable@8d481555,</t>
  </si>
  <si>
    <t>tools.refinery.store.dse.evolutionary.VersionVariable@e4a7d805,</t>
  </si>
  <si>
    <t>tools.refinery.store.dse.evolutionary.VersionVariable@9ae2703f,</t>
  </si>
  <si>
    <t>tools.refinery.store.dse.evolutionary.VersionVariable@bf1578fe,</t>
  </si>
  <si>
    <t>tools.refinery.store.dse.evolutionary.VersionVariable@69cfcb1,</t>
  </si>
  <si>
    <t>tools.refinery.store.dse.evolutionary.VersionVariable@f816ff3f,</t>
  </si>
  <si>
    <t>tools.refinery.store.dse.evolutionary.VersionVariable@ec27aa5b,</t>
  </si>
  <si>
    <t>tools.refinery.store.dse.evolutionary.VersionVariable@ec19d36d,</t>
  </si>
  <si>
    <t>tools.refinery.store.dse.evolutionary.VersionVariable@f8c9861e,</t>
  </si>
  <si>
    <t>tools.refinery.store.dse.evolutionary.VersionVariable@caa8f7e3,</t>
  </si>
  <si>
    <t>tools.refinery.store.dse.evolutionary.VersionVariable@eed6c77a,</t>
  </si>
  <si>
    <t>tools.refinery.store.dse.evolutionary.VersionVariable@e8ece593,</t>
  </si>
  <si>
    <t>tools.refinery.store.dse.evolutionary.VersionVariable@eeeef1e2,</t>
  </si>
  <si>
    <t>tools.refinery.store.dse.evolutionary.VersionVariable@fdf5da6d,</t>
  </si>
  <si>
    <t>tools.refinery.store.dse.evolutionary.VersionVariable@b801cfc3,</t>
  </si>
  <si>
    <t>tools.refinery.store.dse.evolutionary.VersionVariable@8b47ca34,</t>
  </si>
  <si>
    <t>tools.refinery.store.dse.evolutionary.VersionVariable@ef2fa655,</t>
  </si>
  <si>
    <t>tools.refinery.store.dse.evolutionary.VersionVariable@b33aa1bb,</t>
  </si>
  <si>
    <t>tools.refinery.store.dse.evolutionary.VersionVariable@a8f409ff,</t>
  </si>
  <si>
    <t>tools.refinery.store.dse.evolutionary.VersionVariable@e39376a5,</t>
  </si>
  <si>
    <t>tools.refinery.store.dse.evolutionary.VersionVariable@c495e5f3,</t>
  </si>
  <si>
    <t>tools.refinery.store.dse.evolutionary.VersionVariable@d6cf7556,</t>
  </si>
  <si>
    <t>tools.refinery.store.dse.evolutionary.VersionVariable@55d0fa7,</t>
  </si>
  <si>
    <t>tools.refinery.store.dse.evolutionary.VersionVariable@9183baa2,</t>
  </si>
  <si>
    <t>tools.refinery.store.dse.evolutionary.VersionVariable@8f1b8b61,</t>
  </si>
  <si>
    <t>tools.refinery.store.dse.evolutionary.VersionVariable@d70ad466,</t>
  </si>
  <si>
    <t>tools.refinery.store.dse.evolutionary.VersionVariable@ce802c5c,</t>
  </si>
  <si>
    <t>tools.refinery.store.dse.evolutionary.VersionVariable@ee567ea7,</t>
  </si>
  <si>
    <t>tools.refinery.store.dse.evolutionary.VersionVariable@914f37d2,</t>
  </si>
  <si>
    <t>tools.refinery.store.dse.evolutionary.VersionVariable@b3b0bd5d,</t>
  </si>
  <si>
    <t>tools.refinery.store.dse.evolutionary.VersionVariable@eebdd7bc,</t>
  </si>
  <si>
    <t>tools.refinery.store.dse.evolutionary.VersionVariable@c601dadb,</t>
  </si>
  <si>
    <t>tools.refinery.store.dse.evolutionary.VersionVariable@c24b143b,</t>
  </si>
  <si>
    <t>tools.refinery.store.dse.evolutionary.VersionVariable@a74f3ea5,</t>
  </si>
  <si>
    <t>tools.refinery.store.dse.evolutionary.VersionVariable@8a88111d,</t>
  </si>
  <si>
    <t>tools.refinery.store.dse.evolutionary.VersionVariable@ae599b5c,</t>
  </si>
  <si>
    <t>tools.refinery.store.dse.evolutionary.VersionVariable@851d9d0,</t>
  </si>
  <si>
    <t>tools.refinery.store.dse.evolutionary.VersionVariable@e9eec072,</t>
  </si>
  <si>
    <t>tools.refinery.store.dse.evolutionary.VersionVariable@b448ce17,</t>
  </si>
  <si>
    <t>tools.refinery.store.dse.evolutionary.VersionVariable@e279875a,</t>
  </si>
  <si>
    <t>tools.refinery.store.dse.evolutionary.VersionVariable@c8a353d7,</t>
  </si>
  <si>
    <t>tools.refinery.store.dse.evolutionary.VersionVariable@ab92e99e,</t>
  </si>
  <si>
    <t>tools.refinery.store.dse.evolutionary.VersionVariable@e54986e3,</t>
  </si>
  <si>
    <t>tools.refinery.store.dse.evolutionary.VersionVariable@e063cab4,</t>
  </si>
  <si>
    <t>tools.refinery.store.dse.evolutionary.VersionVariable@d5c5d5ed,</t>
  </si>
  <si>
    <t>tools.refinery.store.dse.evolutionary.VersionVariable@d6b71567,</t>
  </si>
  <si>
    <t>tools.refinery.store.dse.evolutionary.VersionVariable@cd26da6c,</t>
  </si>
  <si>
    <t>interClassDependency</t>
  </si>
  <si>
    <t>inClassNoDependency</t>
  </si>
  <si>
    <t>inClassDependency</t>
  </si>
  <si>
    <t>size</t>
  </si>
  <si>
    <t>featureHasNoClass</t>
  </si>
  <si>
    <t>featureInMultipleClasses</t>
  </si>
  <si>
    <t>ownerAndPetAreNotFriends</t>
  </si>
  <si>
    <t>notEnoughFriendsForPerson</t>
  </si>
  <si>
    <t>beingInFriendTriangle</t>
  </si>
  <si>
    <t>personWithMoreThan2Dogs or dogWithoutOwner</t>
  </si>
  <si>
    <t>Non dominated population</t>
  </si>
  <si>
    <t>S10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</si>
  <si>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</si>
  <si>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</si>
  <si>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</si>
  <si>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</si>
  <si>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</si>
  <si>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</si>
  <si>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</si>
  <si>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</si>
  <si>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</si>
  <si>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S11</t>
  </si>
  <si>
    <t>!!! 50</t>
  </si>
  <si>
    <t>t (s)</t>
  </si>
  <si>
    <t>obj_1</t>
  </si>
  <si>
    <t>obj_2</t>
  </si>
  <si>
    <t>obj_3</t>
  </si>
  <si>
    <t>violation</t>
  </si>
  <si>
    <t>!!!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</si>
</sst>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5C494"/>
        <bgColor indexed="64"/>
      </patternFill>
    </fill>
  </fills>
  <borders count="1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11" fontId="0" fillId="0" borderId="0" xfId="0" applyNumberFormat="1"/>
    <xf numFmtId="9" fontId="0" fillId="0" borderId="0" xfId="1" applyFont="1"/>
    <xf numFmtId="0" fontId="3" fillId="0" borderId="0" xfId="0" applyFont="1"/>
    <xf numFmtId="0" fontId="0" fillId="3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0" xfId="0" applyNumberFormat="1"/>
    <xf numFmtId="0" fontId="0" fillId="5" borderId="7" xfId="0" applyFill="1" applyBorder="1"/>
    <xf numFmtId="0" fontId="0" fillId="5" borderId="9" xfId="0" applyFill="1" applyBorder="1"/>
    <xf numFmtId="0" fontId="0" fillId="5" borderId="11" xfId="0" applyFill="1" applyBorder="1"/>
    <xf numFmtId="0" fontId="0" fillId="5" borderId="12" xfId="0" applyFill="1" applyBorder="1"/>
    <xf numFmtId="0" fontId="4" fillId="6" borderId="8" xfId="0" applyFont="1" applyFill="1" applyBorder="1"/>
    <xf numFmtId="0" fontId="4" fillId="6" borderId="10" xfId="0" applyFont="1" applyFill="1" applyBorder="1"/>
    <xf numFmtId="0" fontId="4" fillId="6" borderId="5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5" fillId="0" borderId="4" xfId="0" applyFont="1" applyBorder="1"/>
    <xf numFmtId="164" fontId="0" fillId="0" borderId="0" xfId="0" applyNumberFormat="1"/>
  </cellXfs>
  <cellStyles count="2">
    <cellStyle name="Normál" xfId="0" builtinId="0"/>
    <cellStyle name="Százalék" xfId="1" builtinId="5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5" formatCode="0.00E+00"/>
    </dxf>
    <dxf>
      <numFmt numFmtId="15" formatCode="0.00E+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77EB8"/>
      <color rgb="FFE5C4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8A2AA44D-AD20-4049-94A1-B99D82A00B8B}" autoFormatId="16" applyNumberFormats="0" applyBorderFormats="0" applyFontFormats="0" applyPatternFormats="0" applyAlignmentFormats="0" applyWidthHeightFormats="0">
  <queryTableRefresh nextId="8">
    <queryTableFields count="6">
      <queryTableField id="1" name="elapsed_nanos" tableColumnId="1"/>
      <queryTableField id="2" name="objective_0" tableColumnId="2"/>
      <queryTableField id="3" name="objective_1" tableColumnId="3"/>
      <queryTableField id="4" name="objective_2" tableColumnId="4"/>
      <queryTableField id="6" name="objective_4" tableColumnId="6"/>
      <queryTableField id="7" name="constraint" tableColumnId="7"/>
    </queryTableFields>
    <queryTableDeletedFields count="1">
      <deletedField name="objective_3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FDC38DA8-2FA0-4987-A6AE-0A390EA46C9E}" autoFormatId="16" applyNumberFormats="0" applyBorderFormats="0" applyFontFormats="0" applyPatternFormats="0" applyAlignmentFormats="0" applyWidthHeightFormats="0">
  <queryTableRefresh nextId="8">
    <queryTableFields count="6">
      <queryTableField id="1" name="elapsed_nanos" tableColumnId="1"/>
      <queryTableField id="2" name="objective_0" tableColumnId="2"/>
      <queryTableField id="3" name="objective_1" tableColumnId="3"/>
      <queryTableField id="5" name="objective_3" tableColumnId="5"/>
      <queryTableField id="6" name="objective_4" tableColumnId="6"/>
      <queryTableField id="7" name="constraint" tableColumnId="7"/>
    </queryTableFields>
    <queryTableDeletedFields count="1">
      <deletedField name="objective_2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AA9006FA-8977-4B3D-885A-BFB040D12679}" autoFormatId="16" applyNumberFormats="0" applyBorderFormats="0" applyFontFormats="0" applyPatternFormats="0" applyAlignmentFormats="0" applyWidthHeightFormats="0">
  <queryTableRefresh nextId="9">
    <queryTableFields count="6">
      <queryTableField id="1" name="elapsed_nanos" tableColumnId="1"/>
      <queryTableField id="2" name="objective_0" tableColumnId="2"/>
      <queryTableField id="3" name="objective_1" tableColumnId="3"/>
      <queryTableField id="6" name="objective_4" tableColumnId="6"/>
      <queryTableField id="7" name="objective_5" tableColumnId="7"/>
      <queryTableField id="8" name="constraint" tableColumnId="8"/>
    </queryTableFields>
    <queryTableDeletedFields count="2">
      <deletedField name="objective_2"/>
      <deletedField name="objective_3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912458B2-B46A-47B9-A994-1B9249AA6551}" autoFormatId="16" applyNumberFormats="0" applyBorderFormats="0" applyFontFormats="0" applyPatternFormats="0" applyAlignmentFormats="0" applyWidthHeightFormats="0">
  <queryTableRefresh nextId="9">
    <queryTableFields count="6">
      <queryTableField id="1" name="elapsed_nanos" tableColumnId="1"/>
      <queryTableField id="2" name="objective_0" tableColumnId="2"/>
      <queryTableField id="3" name="objective_1" tableColumnId="3"/>
      <queryTableField id="6" name="objective_4" tableColumnId="6"/>
      <queryTableField id="7" name="objective_5" tableColumnId="7"/>
      <queryTableField id="8" name="constraint" tableColumnId="8"/>
    </queryTableFields>
    <queryTableDeletedFields count="2">
      <deletedField name="objective_2"/>
      <deletedField name="objective_3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F344E9E9-DDC5-4BAE-8E72-A8D28692AC47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crossover_nanos" tableColumnId="1"/>
      <queryTableField id="2" name="mutation_nanos" tableColumnId="2"/>
      <queryTableField id="3" name="eval_measurement_nanos" tableColumnId="3"/>
      <queryTableField id="4" name="total_cross" tableColumnId="4"/>
      <queryTableField id="5" name="success_cross" tableColumnId="5"/>
      <queryTableField id="6" name="total_mut" tableColumnId="6"/>
      <queryTableField id="7" name="success_mut" tableColumnId="7"/>
      <queryTableField id="8" name="total_eval" tableColumnId="8"/>
      <queryTableField id="9" name="success_eval" tableColumnId="9"/>
      <queryTableField id="10" dataBound="0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9" xr16:uid="{997B92F4-EC98-46A3-97DF-F1E5D18DFE00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crossover_nanos" tableColumnId="1"/>
      <queryTableField id="2" name="mutation_nanos" tableColumnId="2"/>
      <queryTableField id="3" name="eval_measurement_nanos" tableColumnId="3"/>
      <queryTableField id="4" name="total_cross" tableColumnId="4"/>
      <queryTableField id="5" name="success_cross" tableColumnId="5"/>
      <queryTableField id="6" name="total_mut" tableColumnId="6"/>
      <queryTableField id="7" name="success_mut" tableColumnId="7"/>
      <queryTableField id="8" name="total_eval" tableColumnId="8"/>
      <queryTableField id="9" name="success_eval" tableColumnId="9"/>
      <queryTableField id="10" dataBound="0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1" xr16:uid="{8EE82EEB-830D-4C3F-A133-6BC1401959BE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crossover_nanos" tableColumnId="1"/>
      <queryTableField id="2" name="mutation_nanos" tableColumnId="2"/>
      <queryTableField id="3" name="eval_measurement_nanos" tableColumnId="3"/>
      <queryTableField id="4" name="total_cross" tableColumnId="4"/>
      <queryTableField id="5" name="success_cross" tableColumnId="5"/>
      <queryTableField id="6" name="total_mut" tableColumnId="6"/>
      <queryTableField id="7" name="success_mut" tableColumnId="7"/>
      <queryTableField id="8" name="total_eval" tableColumnId="8"/>
      <queryTableField id="9" name="success_eval" tableColumnId="9"/>
      <queryTableField id="10" dataBound="0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B13D5726-6243-499E-8FDC-A9A2109581A3}" autoFormatId="16" applyNumberFormats="0" applyBorderFormats="0" applyFontFormats="0" applyPatternFormats="0" applyAlignmentFormats="0" applyWidthHeightFormats="0">
  <queryTableRefresh nextId="9">
    <queryTableFields count="6">
      <queryTableField id="1" name="version," tableColumnId="1"/>
      <queryTableField id="2" name="Obj1," tableColumnId="2"/>
      <queryTableField id="3" name="Obj2," tableColumnId="3"/>
      <queryTableField id="6" name="Obj5," tableColumnId="6"/>
      <queryTableField id="7" name="Obj6," tableColumnId="7"/>
      <queryTableField id="8" name="Constr1" tableColumnId="8"/>
    </queryTableFields>
    <queryTableDeletedFields count="2">
      <deletedField name="Obj3,"/>
      <deletedField name="Obj4,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3" xr16:uid="{BCF27A6E-A197-4A32-909F-BD015522417A}" autoFormatId="16" applyNumberFormats="0" applyBorderFormats="0" applyFontFormats="0" applyPatternFormats="0" applyAlignmentFormats="0" applyWidthHeightFormats="0">
  <queryTableRefresh nextId="9">
    <queryTableFields count="8">
      <queryTableField id="1" name="version," tableColumnId="1"/>
      <queryTableField id="2" name="Obj1," tableColumnId="2"/>
      <queryTableField id="3" name="Obj2," tableColumnId="3"/>
      <queryTableField id="4" name="Obj3," tableColumnId="4"/>
      <queryTableField id="5" name="Obj4," tableColumnId="5"/>
      <queryTableField id="6" name="Obj5," tableColumnId="6"/>
      <queryTableField id="7" name="Obj6," tableColumnId="7"/>
      <queryTableField id="8" name="Constr1" tableColumnId="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5" xr16:uid="{594AE812-F625-407F-ACF8-E8BC0280A6A4}" autoFormatId="16" applyNumberFormats="0" applyBorderFormats="0" applyFontFormats="0" applyPatternFormats="0" applyAlignmentFormats="0" applyWidthHeightFormats="0">
  <queryTableRefresh nextId="8">
    <queryTableFields count="6">
      <queryTableField id="1" name="version," tableColumnId="1"/>
      <queryTableField id="2" name="Obj1," tableColumnId="2"/>
      <queryTableField id="3" name="Obj2," tableColumnId="3"/>
      <queryTableField id="4" name="Obj3," tableColumnId="4"/>
      <queryTableField id="6" name="Obj5," tableColumnId="6"/>
      <queryTableField id="7" name="Constr1" tableColumnId="7"/>
    </queryTableFields>
    <queryTableDeletedFields count="1">
      <deletedField name="Obj4,"/>
    </queryTableDeleted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7" xr16:uid="{72AAEA6D-4C72-4F6F-B65B-7E5AAED7AA63}" autoFormatId="16" applyNumberFormats="0" applyBorderFormats="0" applyFontFormats="0" applyPatternFormats="0" applyAlignmentFormats="0" applyWidthHeightFormats="0">
  <queryTableRefresh nextId="8">
    <queryTableFields count="6">
      <queryTableField id="1" name="version," tableColumnId="1"/>
      <queryTableField id="2" name="Obj1," tableColumnId="2"/>
      <queryTableField id="3" name="Obj2," tableColumnId="3"/>
      <queryTableField id="5" name="Obj4," tableColumnId="5"/>
      <queryTableField id="6" name="Obj5," tableColumnId="6"/>
      <queryTableField id="7" name="Constr1" tableColumnId="7"/>
    </queryTableFields>
    <queryTableDeletedFields count="1">
      <deletedField name="Obj3,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8D3042-CBA9-48C0-B133-FB2F1A16218B}" name="evaluation_run_0__5" displayName="evaluation_run_0__5" ref="A1:F16" tableType="queryTable" totalsRowShown="0">
  <autoFilter ref="A1:F16" xr:uid="{098D3042-CBA9-48C0-B133-FB2F1A16218B}"/>
  <tableColumns count="6">
    <tableColumn id="1" xr3:uid="{A01937D3-3C78-4783-AAC7-77AB44B05EAE}" uniqueName="1" name="elapsed_nanos" queryTableFieldId="1"/>
    <tableColumn id="2" xr3:uid="{EDC0ACD0-BC39-47BB-A587-C24E54B5BF1D}" uniqueName="2" name="objective_0" queryTableFieldId="2" dataDxfId="43"/>
    <tableColumn id="3" xr3:uid="{17F0FA0D-039A-4EDB-BA72-9BF6C43B8D7E}" uniqueName="3" name="objective_1" queryTableFieldId="3" dataDxfId="42"/>
    <tableColumn id="4" xr3:uid="{11DA3E39-4783-4269-BE2E-3DA7228A4330}" uniqueName="4" name="objective_2" queryTableFieldId="4" dataDxfId="41"/>
    <tableColumn id="6" xr3:uid="{3558E054-4C18-404A-AC8F-A814234C4616}" uniqueName="6" name="objective_4" queryTableFieldId="6" dataDxfId="40"/>
    <tableColumn id="7" xr3:uid="{98C03A8D-6EA2-48F9-8564-01D14FAA4C48}" uniqueName="7" name="constraint" queryTableFieldId="7" dataDxfId="3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A61C48F-B7C3-40C1-866B-4F7DD49F42F1}" name="evaluation_run_0__6" displayName="evaluation_run_0__6" ref="A1:F21" tableType="queryTable" totalsRowShown="0">
  <autoFilter ref="A1:F21" xr:uid="{0A61C48F-B7C3-40C1-866B-4F7DD49F42F1}"/>
  <tableColumns count="6">
    <tableColumn id="1" xr3:uid="{3E358212-0D13-42DA-868A-5FE2DF179991}" uniqueName="1" name="elapsed_nanos" queryTableFieldId="1"/>
    <tableColumn id="2" xr3:uid="{23FA85F1-5F24-470F-A319-6702893A1B24}" uniqueName="2" name="objective_0" queryTableFieldId="2" dataDxfId="38"/>
    <tableColumn id="3" xr3:uid="{68FAD0F4-E750-4B55-904B-05778D4A0ED6}" uniqueName="3" name="objective_1" queryTableFieldId="3" dataDxfId="37"/>
    <tableColumn id="5" xr3:uid="{C6DD8DAD-6997-446C-854A-7802029F69FA}" uniqueName="5" name="objective_3" queryTableFieldId="5" dataDxfId="36"/>
    <tableColumn id="6" xr3:uid="{A6A63615-066D-41D9-9AE7-59FA8489B9B9}" uniqueName="6" name="objective_4" queryTableFieldId="6" dataDxfId="35"/>
    <tableColumn id="7" xr3:uid="{F84A27E9-D30F-47ED-AFF5-A2EFE7D8B077}" uniqueName="7" name="constraint" queryTableFieldId="7" dataDxfId="3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1321522-82E2-44A5-933E-E9A1C8FE0420}" name="evaluation_run_0__4" displayName="evaluation_run_0__4" ref="A1:F30" tableType="queryTable" totalsRowShown="0">
  <autoFilter ref="A1:F30" xr:uid="{41321522-82E2-44A5-933E-E9A1C8FE0420}"/>
  <tableColumns count="6">
    <tableColumn id="1" xr3:uid="{AD154B74-4CE0-4A88-AA67-B3912730A38B}" uniqueName="1" name="elapsed_nanos" queryTableFieldId="1"/>
    <tableColumn id="2" xr3:uid="{0664BB76-12C6-474E-81C7-5D9244017281}" uniqueName="2" name="objective_0" queryTableFieldId="2" dataDxfId="33"/>
    <tableColumn id="3" xr3:uid="{BD0F7ED6-6118-4C73-A2E5-80DB02BC193C}" uniqueName="3" name="objective_1" queryTableFieldId="3" dataDxfId="32"/>
    <tableColumn id="6" xr3:uid="{589BF344-1F27-4A2F-BE32-655F8953D6EC}" uniqueName="6" name="objective_4" queryTableFieldId="6" dataDxfId="31"/>
    <tableColumn id="7" xr3:uid="{AD0C6B7B-7595-4FA1-B6A9-B9B853C80DB9}" uniqueName="7" name="objective_5" queryTableFieldId="7" dataDxfId="30"/>
    <tableColumn id="8" xr3:uid="{9F059C35-E6CA-44F4-BB8F-16F2275A2F00}" uniqueName="8" name="constraint" queryTableFieldId="8" dataDxfId="2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B916B4-770A-4021-ACF5-BB689E9F9522}" name="evaluation_run_0__43" displayName="evaluation_run_0__43" ref="A1:F30" tableType="queryTable" totalsRowShown="0">
  <autoFilter ref="A1:F30" xr:uid="{08B916B4-770A-4021-ACF5-BB689E9F9522}"/>
  <tableColumns count="6">
    <tableColumn id="1" xr3:uid="{D35BC189-233B-4E66-914B-8A4FAE2C0E1A}" uniqueName="1" name="elapsed_nanos" queryTableFieldId="1"/>
    <tableColumn id="2" xr3:uid="{D2744DCA-F899-4C45-A5C1-4CADBB8044F1}" uniqueName="2" name="objective_0" queryTableFieldId="2" dataDxfId="28"/>
    <tableColumn id="3" xr3:uid="{55630C06-2F60-4BA1-AF59-1C22E6408317}" uniqueName="3" name="objective_1" queryTableFieldId="3" dataDxfId="27"/>
    <tableColumn id="6" xr3:uid="{041CEC07-4FD7-476D-B82D-C1E9860AAA3D}" uniqueName="6" name="objective_4" queryTableFieldId="6" dataDxfId="26"/>
    <tableColumn id="7" xr3:uid="{F44053AE-66FD-471D-9CC5-89329999D88F}" uniqueName="7" name="objective_5" queryTableFieldId="7" dataDxfId="25"/>
    <tableColumn id="8" xr3:uid="{B91D95B1-928B-4C4A-AE98-B26D980657A7}" uniqueName="8" name="constraint" queryTableFieldId="8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257F56-EAFF-486C-8471-71D559000CEE}" name="variation_metrics" displayName="variation_metrics" ref="A29:J38" tableType="queryTable" totalsRowShown="0">
  <autoFilter ref="A29:J38" xr:uid="{6F257F56-EAFF-486C-8471-71D559000CEE}"/>
  <tableColumns count="10">
    <tableColumn id="1" xr3:uid="{819DB239-DE84-4660-B130-10E6351D546F}" uniqueName="1" name="crossover_nanos" queryTableFieldId="1"/>
    <tableColumn id="2" xr3:uid="{CEBA3FC0-906F-4995-9A09-34F8DDBC7531}" uniqueName="2" name="mutation_nanos" queryTableFieldId="2"/>
    <tableColumn id="3" xr3:uid="{6E6DD310-5FB3-47B3-B7A4-CC83EFE0FBBF}" uniqueName="3" name="eval_measurement_nanos" queryTableFieldId="3"/>
    <tableColumn id="4" xr3:uid="{80639B06-71D3-4ED8-8603-932071919F2A}" uniqueName="4" name="total_cross" queryTableFieldId="4"/>
    <tableColumn id="5" xr3:uid="{BA856E1E-920F-4BB0-82E9-189BA5AFB198}" uniqueName="5" name="success_cross" queryTableFieldId="5"/>
    <tableColumn id="6" xr3:uid="{5F7B29CD-4AA3-44A1-AA99-CBF54732589D}" uniqueName="6" name="total_mut" queryTableFieldId="6"/>
    <tableColumn id="7" xr3:uid="{139E411B-9EB6-4730-8E45-51FAD7E6FCFF}" uniqueName="7" name="success_mut" queryTableFieldId="7"/>
    <tableColumn id="8" xr3:uid="{F47FA51A-B2D9-4229-B15D-92B0618899A4}" uniqueName="8" name="total_eval" queryTableFieldId="8"/>
    <tableColumn id="9" xr3:uid="{06F4CC3C-BB70-4A13-A79C-508D2D86DD32}" uniqueName="9" name="success_eval" queryTableFieldId="9"/>
    <tableColumn id="10" xr3:uid="{63A5B683-5B56-48AB-8011-BDA85B66951F}" uniqueName="10" name="total_nanos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F63F9E7-F1CF-4701-A8E2-CE717F3C518F}" name="variation_metrics__2" displayName="variation_metrics__2" ref="A5:J14" tableType="queryTable" totalsRowShown="0">
  <autoFilter ref="A5:J14" xr:uid="{1F63F9E7-F1CF-4701-A8E2-CE717F3C518F}"/>
  <tableColumns count="10">
    <tableColumn id="1" xr3:uid="{50E443DD-1682-4436-82BF-BDBBABC2BFDE}" uniqueName="1" name="crossover_nanos" queryTableFieldId="1"/>
    <tableColumn id="2" xr3:uid="{9ED964B2-DD37-476C-ACCD-7813950E23FB}" uniqueName="2" name="mutation_nanos" queryTableFieldId="2"/>
    <tableColumn id="3" xr3:uid="{6C5943F4-C51A-4E83-B0B0-A14D9E4D05C2}" uniqueName="3" name="eval_measurement_nanos" queryTableFieldId="3"/>
    <tableColumn id="4" xr3:uid="{77D7AF89-8342-4F8F-858A-B0BE5674652F}" uniqueName="4" name="total_cross" queryTableFieldId="4"/>
    <tableColumn id="5" xr3:uid="{CF43EB58-C2F6-4AD3-AF39-72FB8B642FDE}" uniqueName="5" name="success_cross" queryTableFieldId="5"/>
    <tableColumn id="6" xr3:uid="{FDEEBBA7-D6D2-4C33-8A5A-6D96FAF57C58}" uniqueName="6" name="total_mut" queryTableFieldId="6"/>
    <tableColumn id="7" xr3:uid="{335958B8-DB44-4FA5-977A-CB0107950B4E}" uniqueName="7" name="success_mut" queryTableFieldId="7"/>
    <tableColumn id="8" xr3:uid="{0E2E7E1F-5A45-48CC-A622-89148686EB3B}" uniqueName="8" name="total_eval" queryTableFieldId="8"/>
    <tableColumn id="9" xr3:uid="{790E7B99-8B81-4355-95B4-B50C2420EA2D}" uniqueName="9" name="success_eval" queryTableFieldId="9"/>
    <tableColumn id="10" xr3:uid="{9AE078A5-B6AA-4564-AA0C-E700CF0DE4DB}" uniqueName="10" name="total_nanos" queryTableFieldId="10" dataDxfId="2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FC16209-90AE-441D-85BF-F0D2CE93A83A}" name="variation_metrics__312" displayName="variation_metrics__312" ref="A17:J26" tableType="queryTable" totalsRowShown="0">
  <autoFilter ref="A17:J26" xr:uid="{6FC16209-90AE-441D-85BF-F0D2CE93A83A}"/>
  <tableColumns count="10">
    <tableColumn id="1" xr3:uid="{4CB9AFEF-327E-48DF-8BE5-8699EDB5A534}" uniqueName="1" name="crossover_nanos" queryTableFieldId="1"/>
    <tableColumn id="2" xr3:uid="{C29DDACA-9D5E-43E9-B379-059F6EE96F68}" uniqueName="2" name="mutation_nanos" queryTableFieldId="2"/>
    <tableColumn id="3" xr3:uid="{263E3C17-CBD4-4DF2-8676-424BE34AAF1C}" uniqueName="3" name="eval_measurement_nanos" queryTableFieldId="3"/>
    <tableColumn id="4" xr3:uid="{A77AD2E6-52AB-4B48-B2BC-CA89E5A299D0}" uniqueName="4" name="total_cross" queryTableFieldId="4"/>
    <tableColumn id="5" xr3:uid="{9EBB8EE8-CEB5-4732-AFCC-95EA6173E444}" uniqueName="5" name="success_cross" queryTableFieldId="5"/>
    <tableColumn id="6" xr3:uid="{881A4B52-4A3F-4C1C-BEF7-74685371A1A3}" uniqueName="6" name="total_mut" queryTableFieldId="6"/>
    <tableColumn id="7" xr3:uid="{90562BF7-EF3A-454E-B960-463176FA5464}" uniqueName="7" name="success_mut" queryTableFieldId="7"/>
    <tableColumn id="8" xr3:uid="{3935EE29-DF43-44C3-85F4-5597DBE3C5CB}" uniqueName="8" name="total_eval" queryTableFieldId="8"/>
    <tableColumn id="9" xr3:uid="{157F62BE-C551-4EE8-8DF9-88B0D4D79441}" uniqueName="9" name="success_eval" queryTableFieldId="9"/>
    <tableColumn id="10" xr3:uid="{33B33180-B32B-4479-87A8-0853353E6AA8}" uniqueName="10" name="total_nanos" queryTableFieldId="10" dataDxfId="2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4A827D-C047-49B4-B34F-F28E6AD9940D}" name="result_population__4112" displayName="result_population__4112" ref="B1:G93" tableType="queryTable" totalsRowShown="0">
  <autoFilter ref="B1:G93" xr:uid="{DA4A827D-C047-49B4-B34F-F28E6AD9940D}">
    <filterColumn colId="5">
      <filters>
        <filter val="0"/>
      </filters>
    </filterColumn>
  </autoFilter>
  <tableColumns count="6">
    <tableColumn id="1" xr3:uid="{7C681ADB-7690-4234-9144-93F538450DF9}" uniqueName="1" name="version," queryTableFieldId="1" dataDxfId="21"/>
    <tableColumn id="2" xr3:uid="{F48B5B6A-7C1D-4DE1-82E3-ADAC2297BEEB}" uniqueName="2" name="Obj1," queryTableFieldId="2" dataDxfId="20"/>
    <tableColumn id="3" xr3:uid="{1B22709E-99BE-4EF8-8960-8B7175FE3718}" uniqueName="3" name="Obj2," queryTableFieldId="3" dataDxfId="19"/>
    <tableColumn id="6" xr3:uid="{C4AA8CA2-8F78-417F-A4A2-71FAD7C84EA1}" uniqueName="6" name="Obj5," queryTableFieldId="6" dataDxfId="18"/>
    <tableColumn id="7" xr3:uid="{457AB263-8208-451C-ACB0-E7E11BA10FA5}" uniqueName="7" name="Obj6," queryTableFieldId="7" dataDxfId="17"/>
    <tableColumn id="8" xr3:uid="{49843139-1B5C-4B21-8E3D-EE5277150E27}" uniqueName="8" name="Constr1" queryTableField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4296EF1-1F07-4F01-A334-E63E94EFA2B4}" name="result_population__411" displayName="result_population__411" ref="Q2:X94" tableType="queryTable" totalsRowShown="0">
  <autoFilter ref="Q2:X94" xr:uid="{C4296EF1-1F07-4F01-A334-E63E94EFA2B4}"/>
  <tableColumns count="8">
    <tableColumn id="1" xr3:uid="{20DEF6B9-27A7-4B0D-8688-7A7E4AF376A3}" uniqueName="1" name="version," queryTableFieldId="1" dataDxfId="16"/>
    <tableColumn id="2" xr3:uid="{08D1CAA4-139D-41CA-B934-7DB2EDEDA8AE}" uniqueName="2" name="Obj1," queryTableFieldId="2" dataDxfId="15"/>
    <tableColumn id="3" xr3:uid="{B337A306-6124-4153-A5BE-7ED49C483781}" uniqueName="3" name="Obj2," queryTableFieldId="3" dataDxfId="14"/>
    <tableColumn id="4" xr3:uid="{B89176CD-3A22-42BC-A65A-FF0E1A39BA26}" uniqueName="4" name="Obj3," queryTableFieldId="4" dataDxfId="13"/>
    <tableColumn id="5" xr3:uid="{C3BBF82C-E566-4AF1-854E-6A076B55EBE3}" uniqueName="5" name="Obj4," queryTableFieldId="5" dataDxfId="12"/>
    <tableColumn id="6" xr3:uid="{A7DAA046-ACD3-4CCF-9ED9-FB2D22AA72D0}" uniqueName="6" name="Obj5," queryTableFieldId="6" dataDxfId="11"/>
    <tableColumn id="7" xr3:uid="{E3B37EF3-4E3C-4FDC-8AEC-B3822611794C}" uniqueName="7" name="Obj6," queryTableFieldId="7" dataDxfId="10"/>
    <tableColumn id="8" xr3:uid="{6CDAB5B5-7E90-41DF-BBF6-B7E72D321D50}" uniqueName="8" name="Constr1" queryTableFieldId="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BDFDE7A-C6BF-4756-AAC7-4F97EC999736}" name="result_population__614" displayName="result_population__614" ref="A2:F102" tableType="queryTable" totalsRowShown="0">
  <autoFilter ref="A2:F102" xr:uid="{5BDFDE7A-C6BF-4756-AAC7-4F97EC999736}"/>
  <tableColumns count="6">
    <tableColumn id="1" xr3:uid="{6A1E2A00-9277-484F-BFA3-CB62352816DB}" uniqueName="1" name="version," queryTableFieldId="1" dataDxfId="9"/>
    <tableColumn id="2" xr3:uid="{7080BC4A-B94A-4CE8-A43E-A10559396F2C}" uniqueName="2" name="Obj1," queryTableFieldId="2" dataDxfId="8"/>
    <tableColumn id="3" xr3:uid="{82DA2F23-5A47-4951-A574-E28C13D38319}" uniqueName="3" name="Obj2," queryTableFieldId="3" dataDxfId="7"/>
    <tableColumn id="4" xr3:uid="{068ACC77-2D3A-493F-BB62-2CB853ABC5D2}" uniqueName="4" name="Obj3," queryTableFieldId="4" dataDxfId="6"/>
    <tableColumn id="6" xr3:uid="{F95E159E-82A5-4BC2-A2B0-1303B1C69B38}" uniqueName="6" name="Obj5," queryTableFieldId="6" dataDxfId="5"/>
    <tableColumn id="7" xr3:uid="{12D1F8FB-CB21-4122-87E0-E7F188BAF4DC}" uniqueName="7" name="Constr1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3AB8266-1A93-402F-B04B-1BC5DF21EDE1}" name="result_population__818" displayName="result_population__818" ref="I2:N96" tableType="queryTable" totalsRowShown="0">
  <autoFilter ref="I2:N96" xr:uid="{63AB8266-1A93-402F-B04B-1BC5DF21EDE1}"/>
  <tableColumns count="6">
    <tableColumn id="1" xr3:uid="{0D6307FA-E6F1-42B5-B363-39109001224C}" uniqueName="1" name="version," queryTableFieldId="1" dataDxfId="4"/>
    <tableColumn id="2" xr3:uid="{20EA75D4-747B-4084-B3C8-1B7B8D997A36}" uniqueName="2" name="Obj1," queryTableFieldId="2" dataDxfId="3"/>
    <tableColumn id="3" xr3:uid="{BCD87766-59DA-4D4D-B96C-A5668F0FD705}" uniqueName="3" name="Obj2," queryTableFieldId="3" dataDxfId="2"/>
    <tableColumn id="5" xr3:uid="{35818E6D-517F-4B3F-ADB3-1C20E0E0911C}" uniqueName="5" name="Obj4," queryTableFieldId="5" dataDxfId="1"/>
    <tableColumn id="6" xr3:uid="{FF8C8903-96BD-419E-9FDA-D912C1740B57}" uniqueName="6" name="Obj5," queryTableFieldId="6" dataDxfId="0"/>
    <tableColumn id="7" xr3:uid="{C57EA65D-0F9C-4244-851E-A47D3B3FED59}" uniqueName="7" name="Constr1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ED6B-5BD2-45CC-8312-89486EEA1A08}">
  <dimension ref="A1:F16"/>
  <sheetViews>
    <sheetView workbookViewId="0">
      <selection activeCell="A2" sqref="A2:F16"/>
    </sheetView>
  </sheetViews>
  <sheetFormatPr defaultRowHeight="14.4" x14ac:dyDescent="0.3"/>
  <cols>
    <col min="1" max="1" width="16.21875" bestFit="1" customWidth="1"/>
    <col min="2" max="5" width="13.2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241</v>
      </c>
      <c r="F1" t="s">
        <v>5</v>
      </c>
    </row>
    <row r="2" spans="1:6" x14ac:dyDescent="0.3">
      <c r="A2">
        <v>0</v>
      </c>
      <c r="B2" t="s">
        <v>44</v>
      </c>
      <c r="C2" t="s">
        <v>31</v>
      </c>
      <c r="D2" t="s">
        <v>6</v>
      </c>
      <c r="E2" t="s">
        <v>47</v>
      </c>
      <c r="F2" t="s">
        <v>44</v>
      </c>
    </row>
    <row r="3" spans="1:6" x14ac:dyDescent="0.3">
      <c r="A3">
        <v>801700</v>
      </c>
      <c r="B3" t="s">
        <v>44</v>
      </c>
      <c r="C3" t="s">
        <v>38</v>
      </c>
      <c r="D3" t="s">
        <v>6</v>
      </c>
      <c r="E3" t="s">
        <v>17</v>
      </c>
      <c r="F3" t="s">
        <v>44</v>
      </c>
    </row>
    <row r="4" spans="1:6" x14ac:dyDescent="0.3">
      <c r="A4">
        <v>3000800</v>
      </c>
      <c r="B4" t="s">
        <v>6</v>
      </c>
      <c r="C4" t="s">
        <v>38</v>
      </c>
      <c r="D4" t="s">
        <v>6</v>
      </c>
      <c r="E4" t="s">
        <v>17</v>
      </c>
      <c r="F4" t="s">
        <v>38</v>
      </c>
    </row>
    <row r="5" spans="1:6" x14ac:dyDescent="0.3">
      <c r="A5">
        <v>4131400</v>
      </c>
      <c r="B5" t="s">
        <v>6</v>
      </c>
      <c r="C5" t="s">
        <v>15</v>
      </c>
      <c r="D5" t="s">
        <v>6</v>
      </c>
      <c r="E5" t="s">
        <v>20</v>
      </c>
      <c r="F5" t="s">
        <v>33</v>
      </c>
    </row>
    <row r="6" spans="1:6" x14ac:dyDescent="0.3">
      <c r="A6">
        <v>8110300</v>
      </c>
      <c r="B6" t="s">
        <v>6</v>
      </c>
      <c r="C6" t="s">
        <v>44</v>
      </c>
      <c r="D6" t="s">
        <v>38</v>
      </c>
      <c r="E6" t="s">
        <v>17</v>
      </c>
      <c r="F6" t="s">
        <v>33</v>
      </c>
    </row>
    <row r="7" spans="1:6" x14ac:dyDescent="0.3">
      <c r="A7">
        <v>473361700</v>
      </c>
      <c r="B7" t="s">
        <v>6</v>
      </c>
      <c r="C7" t="s">
        <v>38</v>
      </c>
      <c r="D7" t="s">
        <v>6</v>
      </c>
      <c r="E7" t="s">
        <v>8</v>
      </c>
      <c r="F7" t="s">
        <v>31</v>
      </c>
    </row>
    <row r="8" spans="1:6" x14ac:dyDescent="0.3">
      <c r="A8">
        <v>1367225400</v>
      </c>
      <c r="B8" t="s">
        <v>44</v>
      </c>
      <c r="C8" t="s">
        <v>33</v>
      </c>
      <c r="D8" t="s">
        <v>6</v>
      </c>
      <c r="E8" t="s">
        <v>49</v>
      </c>
      <c r="F8" t="s">
        <v>23</v>
      </c>
    </row>
    <row r="9" spans="1:6" x14ac:dyDescent="0.3">
      <c r="A9">
        <v>1867918200</v>
      </c>
      <c r="B9" t="s">
        <v>38</v>
      </c>
      <c r="C9" t="s">
        <v>33</v>
      </c>
      <c r="D9" t="s">
        <v>6</v>
      </c>
      <c r="E9" t="s">
        <v>51</v>
      </c>
      <c r="F9" t="s">
        <v>38</v>
      </c>
    </row>
    <row r="10" spans="1:6" x14ac:dyDescent="0.3">
      <c r="A10">
        <v>3198435300</v>
      </c>
      <c r="B10" t="s">
        <v>38</v>
      </c>
      <c r="C10" t="s">
        <v>33</v>
      </c>
      <c r="D10" t="s">
        <v>6</v>
      </c>
      <c r="E10" t="s">
        <v>52</v>
      </c>
      <c r="F10" t="s">
        <v>23</v>
      </c>
    </row>
    <row r="11" spans="1:6" x14ac:dyDescent="0.3">
      <c r="A11">
        <v>5720277900</v>
      </c>
      <c r="B11" t="s">
        <v>33</v>
      </c>
      <c r="C11" t="s">
        <v>31</v>
      </c>
      <c r="D11" t="s">
        <v>6</v>
      </c>
      <c r="E11" t="s">
        <v>53</v>
      </c>
      <c r="F11" t="s">
        <v>15</v>
      </c>
    </row>
    <row r="12" spans="1:6" x14ac:dyDescent="0.3">
      <c r="A12">
        <v>9440654400</v>
      </c>
      <c r="B12" t="s">
        <v>44</v>
      </c>
      <c r="C12" t="s">
        <v>18</v>
      </c>
      <c r="D12" t="s">
        <v>38</v>
      </c>
      <c r="E12" t="s">
        <v>12</v>
      </c>
      <c r="F12" t="s">
        <v>38</v>
      </c>
    </row>
    <row r="13" spans="1:6" x14ac:dyDescent="0.3">
      <c r="A13">
        <v>18831606900</v>
      </c>
      <c r="B13" t="s">
        <v>31</v>
      </c>
      <c r="C13" t="s">
        <v>33</v>
      </c>
      <c r="D13" t="s">
        <v>6</v>
      </c>
      <c r="E13" t="s">
        <v>55</v>
      </c>
      <c r="F13" t="s">
        <v>15</v>
      </c>
    </row>
    <row r="14" spans="1:6" x14ac:dyDescent="0.3">
      <c r="A14">
        <v>34052809500</v>
      </c>
      <c r="B14" t="s">
        <v>38</v>
      </c>
      <c r="C14" t="s">
        <v>14</v>
      </c>
      <c r="D14" t="s">
        <v>6</v>
      </c>
      <c r="E14" t="s">
        <v>25</v>
      </c>
      <c r="F14" t="s">
        <v>15</v>
      </c>
    </row>
    <row r="15" spans="1:6" x14ac:dyDescent="0.3">
      <c r="A15">
        <v>49379522200</v>
      </c>
      <c r="B15" t="s">
        <v>38</v>
      </c>
      <c r="C15" t="s">
        <v>10</v>
      </c>
      <c r="D15" t="s">
        <v>6</v>
      </c>
      <c r="E15" t="s">
        <v>56</v>
      </c>
      <c r="F15" t="s">
        <v>15</v>
      </c>
    </row>
    <row r="16" spans="1:6" x14ac:dyDescent="0.3">
      <c r="A16">
        <v>63985869300</v>
      </c>
      <c r="B16" t="s">
        <v>38</v>
      </c>
      <c r="C16" t="s">
        <v>22</v>
      </c>
      <c r="D16" t="s">
        <v>6</v>
      </c>
      <c r="E16" t="s">
        <v>26</v>
      </c>
      <c r="F16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4A76-47AF-4E6B-B0F8-DE765C8A745F}">
  <dimension ref="A1:F21"/>
  <sheetViews>
    <sheetView workbookViewId="0">
      <selection activeCell="D21" sqref="D1:D21"/>
    </sheetView>
  </sheetViews>
  <sheetFormatPr defaultRowHeight="14.4" x14ac:dyDescent="0.3"/>
  <cols>
    <col min="1" max="1" width="16.21875" bestFit="1" customWidth="1"/>
    <col min="2" max="5" width="13.2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241</v>
      </c>
      <c r="F1" t="s">
        <v>5</v>
      </c>
    </row>
    <row r="2" spans="1:6" x14ac:dyDescent="0.3">
      <c r="A2">
        <v>0</v>
      </c>
      <c r="B2" t="s">
        <v>44</v>
      </c>
      <c r="C2" t="s">
        <v>31</v>
      </c>
      <c r="D2" t="s">
        <v>6</v>
      </c>
      <c r="E2" t="s">
        <v>47</v>
      </c>
      <c r="F2" t="s">
        <v>44</v>
      </c>
    </row>
    <row r="3" spans="1:6" x14ac:dyDescent="0.3">
      <c r="A3">
        <v>799400</v>
      </c>
      <c r="B3" t="s">
        <v>44</v>
      </c>
      <c r="C3" t="s">
        <v>38</v>
      </c>
      <c r="D3" t="s">
        <v>6</v>
      </c>
      <c r="E3" t="s">
        <v>17</v>
      </c>
      <c r="F3" t="s">
        <v>44</v>
      </c>
    </row>
    <row r="4" spans="1:6" x14ac:dyDescent="0.3">
      <c r="A4">
        <v>3522800</v>
      </c>
      <c r="B4" t="s">
        <v>6</v>
      </c>
      <c r="C4" t="s">
        <v>38</v>
      </c>
      <c r="D4" t="s">
        <v>6</v>
      </c>
      <c r="E4" t="s">
        <v>17</v>
      </c>
      <c r="F4" t="s">
        <v>38</v>
      </c>
    </row>
    <row r="5" spans="1:6" x14ac:dyDescent="0.3">
      <c r="A5">
        <v>4643800</v>
      </c>
      <c r="B5" t="s">
        <v>6</v>
      </c>
      <c r="C5" t="s">
        <v>15</v>
      </c>
      <c r="D5" t="s">
        <v>6</v>
      </c>
      <c r="E5" t="s">
        <v>20</v>
      </c>
      <c r="F5" t="s">
        <v>33</v>
      </c>
    </row>
    <row r="6" spans="1:6" x14ac:dyDescent="0.3">
      <c r="A6">
        <v>8621600</v>
      </c>
      <c r="B6" t="s">
        <v>6</v>
      </c>
      <c r="C6" t="s">
        <v>44</v>
      </c>
      <c r="D6" t="s">
        <v>48</v>
      </c>
      <c r="E6" t="s">
        <v>17</v>
      </c>
      <c r="F6" t="s">
        <v>33</v>
      </c>
    </row>
    <row r="7" spans="1:6" x14ac:dyDescent="0.3">
      <c r="A7">
        <v>506308200</v>
      </c>
      <c r="B7" t="s">
        <v>6</v>
      </c>
      <c r="C7" t="s">
        <v>18</v>
      </c>
      <c r="D7" t="s">
        <v>6</v>
      </c>
      <c r="E7" t="s">
        <v>8</v>
      </c>
      <c r="F7" t="s">
        <v>15</v>
      </c>
    </row>
    <row r="8" spans="1:6" x14ac:dyDescent="0.3">
      <c r="A8">
        <v>927596000</v>
      </c>
      <c r="B8" t="s">
        <v>15</v>
      </c>
      <c r="C8" t="s">
        <v>23</v>
      </c>
      <c r="D8" t="s">
        <v>6</v>
      </c>
      <c r="E8" t="s">
        <v>49</v>
      </c>
      <c r="F8" t="s">
        <v>23</v>
      </c>
    </row>
    <row r="9" spans="1:6" x14ac:dyDescent="0.3">
      <c r="A9">
        <v>1901816300</v>
      </c>
      <c r="B9" t="s">
        <v>38</v>
      </c>
      <c r="C9" t="s">
        <v>23</v>
      </c>
      <c r="D9" t="s">
        <v>6</v>
      </c>
      <c r="E9" t="s">
        <v>51</v>
      </c>
      <c r="F9" t="s">
        <v>23</v>
      </c>
    </row>
    <row r="10" spans="1:6" x14ac:dyDescent="0.3">
      <c r="A10">
        <v>2093571400</v>
      </c>
      <c r="B10" t="s">
        <v>38</v>
      </c>
      <c r="C10" t="s">
        <v>33</v>
      </c>
      <c r="D10" t="s">
        <v>6</v>
      </c>
      <c r="E10" t="s">
        <v>52</v>
      </c>
      <c r="F10" t="s">
        <v>23</v>
      </c>
    </row>
    <row r="11" spans="1:6" x14ac:dyDescent="0.3">
      <c r="A11">
        <v>2137841500</v>
      </c>
      <c r="B11" t="s">
        <v>6</v>
      </c>
      <c r="C11" t="s">
        <v>44</v>
      </c>
      <c r="D11" t="s">
        <v>50</v>
      </c>
      <c r="E11" t="s">
        <v>20</v>
      </c>
      <c r="F11" t="s">
        <v>44</v>
      </c>
    </row>
    <row r="12" spans="1:6" x14ac:dyDescent="0.3">
      <c r="A12">
        <v>3501206000</v>
      </c>
      <c r="B12" t="s">
        <v>23</v>
      </c>
      <c r="C12" t="s">
        <v>33</v>
      </c>
      <c r="D12" t="s">
        <v>6</v>
      </c>
      <c r="E12" t="s">
        <v>53</v>
      </c>
      <c r="F12" t="s">
        <v>23</v>
      </c>
    </row>
    <row r="13" spans="1:6" x14ac:dyDescent="0.3">
      <c r="A13">
        <v>3774177800</v>
      </c>
      <c r="B13" t="s">
        <v>6</v>
      </c>
      <c r="C13" t="s">
        <v>15</v>
      </c>
      <c r="D13" t="s">
        <v>54</v>
      </c>
      <c r="E13" t="s">
        <v>8</v>
      </c>
      <c r="F13" t="s">
        <v>15</v>
      </c>
    </row>
    <row r="14" spans="1:6" x14ac:dyDescent="0.3">
      <c r="A14">
        <v>5352285300</v>
      </c>
      <c r="B14" t="s">
        <v>33</v>
      </c>
      <c r="C14" t="s">
        <v>33</v>
      </c>
      <c r="D14" t="s">
        <v>6</v>
      </c>
      <c r="E14" t="s">
        <v>12</v>
      </c>
      <c r="F14" t="s">
        <v>23</v>
      </c>
    </row>
    <row r="15" spans="1:6" x14ac:dyDescent="0.3">
      <c r="A15">
        <v>11007991400</v>
      </c>
      <c r="B15" t="s">
        <v>23</v>
      </c>
      <c r="C15" t="s">
        <v>31</v>
      </c>
      <c r="D15" t="s">
        <v>6</v>
      </c>
      <c r="E15" t="s">
        <v>55</v>
      </c>
      <c r="F15" t="s">
        <v>15</v>
      </c>
    </row>
    <row r="16" spans="1:6" x14ac:dyDescent="0.3">
      <c r="A16">
        <v>28539684900</v>
      </c>
      <c r="B16" t="s">
        <v>23</v>
      </c>
      <c r="C16" t="s">
        <v>31</v>
      </c>
      <c r="D16" t="s">
        <v>6</v>
      </c>
      <c r="E16" t="s">
        <v>25</v>
      </c>
      <c r="F16" t="s">
        <v>44</v>
      </c>
    </row>
    <row r="17" spans="1:6" x14ac:dyDescent="0.3">
      <c r="A17">
        <v>33245984500</v>
      </c>
      <c r="B17" t="s">
        <v>23</v>
      </c>
      <c r="C17" t="s">
        <v>18</v>
      </c>
      <c r="D17" t="s">
        <v>6</v>
      </c>
      <c r="E17" t="s">
        <v>56</v>
      </c>
      <c r="F17" t="s">
        <v>44</v>
      </c>
    </row>
    <row r="18" spans="1:6" x14ac:dyDescent="0.3">
      <c r="A18">
        <v>36317290000</v>
      </c>
      <c r="B18" t="s">
        <v>6</v>
      </c>
      <c r="C18" t="s">
        <v>15</v>
      </c>
      <c r="D18" t="s">
        <v>17</v>
      </c>
      <c r="E18" t="s">
        <v>52</v>
      </c>
      <c r="F18" t="s">
        <v>23</v>
      </c>
    </row>
    <row r="19" spans="1:6" x14ac:dyDescent="0.3">
      <c r="A19">
        <v>39784141500</v>
      </c>
      <c r="B19" t="s">
        <v>23</v>
      </c>
      <c r="C19" t="s">
        <v>18</v>
      </c>
      <c r="D19" t="s">
        <v>6</v>
      </c>
      <c r="E19" t="s">
        <v>26</v>
      </c>
      <c r="F19" t="s">
        <v>15</v>
      </c>
    </row>
    <row r="20" spans="1:6" x14ac:dyDescent="0.3">
      <c r="A20">
        <v>62904499900</v>
      </c>
      <c r="B20" t="s">
        <v>23</v>
      </c>
      <c r="C20" t="s">
        <v>14</v>
      </c>
      <c r="D20" t="s">
        <v>6</v>
      </c>
      <c r="E20" t="s">
        <v>13</v>
      </c>
      <c r="F20" t="s">
        <v>15</v>
      </c>
    </row>
    <row r="21" spans="1:6" x14ac:dyDescent="0.3">
      <c r="A21">
        <v>77629039600</v>
      </c>
      <c r="B21" t="s">
        <v>23</v>
      </c>
      <c r="C21" t="s">
        <v>10</v>
      </c>
      <c r="D21" t="s">
        <v>6</v>
      </c>
      <c r="E21" t="s">
        <v>9</v>
      </c>
      <c r="F21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FC80-56C9-40BC-8088-F8708A470176}">
  <dimension ref="A1:H30"/>
  <sheetViews>
    <sheetView topLeftCell="A5" workbookViewId="0">
      <selection activeCell="A2" sqref="A2:F30"/>
    </sheetView>
  </sheetViews>
  <sheetFormatPr defaultRowHeight="14.4" x14ac:dyDescent="0.3"/>
  <cols>
    <col min="1" max="1" width="16.21875" bestFit="1" customWidth="1"/>
    <col min="2" max="5" width="13.21875" bestFit="1" customWidth="1"/>
    <col min="6" max="6" width="11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241</v>
      </c>
      <c r="E1" t="s">
        <v>242</v>
      </c>
      <c r="F1" t="s">
        <v>5</v>
      </c>
    </row>
    <row r="2" spans="1:8" x14ac:dyDescent="0.3">
      <c r="A2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H2" s="25"/>
    </row>
    <row r="3" spans="1:8" x14ac:dyDescent="0.3">
      <c r="A3">
        <v>1077000</v>
      </c>
      <c r="B3" t="s">
        <v>6</v>
      </c>
      <c r="C3" t="s">
        <v>11</v>
      </c>
      <c r="D3" t="s">
        <v>12</v>
      </c>
      <c r="E3" t="s">
        <v>13</v>
      </c>
      <c r="F3" t="s">
        <v>14</v>
      </c>
      <c r="H3" s="25"/>
    </row>
    <row r="4" spans="1:8" x14ac:dyDescent="0.3">
      <c r="A4">
        <v>2291900</v>
      </c>
      <c r="B4" t="s">
        <v>15</v>
      </c>
      <c r="C4" t="s">
        <v>16</v>
      </c>
      <c r="D4" t="s">
        <v>17</v>
      </c>
      <c r="E4" t="s">
        <v>9</v>
      </c>
      <c r="F4" t="s">
        <v>10</v>
      </c>
      <c r="H4" s="25"/>
    </row>
    <row r="5" spans="1:8" x14ac:dyDescent="0.3">
      <c r="A5">
        <v>6323200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H5" s="25"/>
    </row>
    <row r="6" spans="1:8" x14ac:dyDescent="0.3">
      <c r="A6">
        <v>9600000</v>
      </c>
      <c r="B6" t="s">
        <v>23</v>
      </c>
      <c r="C6" t="s">
        <v>22</v>
      </c>
      <c r="D6" t="s">
        <v>17</v>
      </c>
      <c r="E6" t="s">
        <v>21</v>
      </c>
      <c r="F6" t="s">
        <v>22</v>
      </c>
      <c r="H6" s="25"/>
    </row>
    <row r="7" spans="1:8" x14ac:dyDescent="0.3">
      <c r="A7">
        <v>19858900</v>
      </c>
      <c r="B7" t="s">
        <v>6</v>
      </c>
      <c r="C7" t="s">
        <v>24</v>
      </c>
      <c r="D7" t="s">
        <v>25</v>
      </c>
      <c r="E7" t="s">
        <v>13</v>
      </c>
      <c r="F7" t="s">
        <v>14</v>
      </c>
      <c r="H7" s="25"/>
    </row>
    <row r="8" spans="1:8" x14ac:dyDescent="0.3">
      <c r="A8">
        <v>23013600</v>
      </c>
      <c r="B8" t="s">
        <v>6</v>
      </c>
      <c r="C8" t="s">
        <v>7</v>
      </c>
      <c r="D8" t="s">
        <v>26</v>
      </c>
      <c r="E8" t="s">
        <v>13</v>
      </c>
      <c r="F8" t="s">
        <v>14</v>
      </c>
      <c r="H8" s="25"/>
    </row>
    <row r="9" spans="1:8" x14ac:dyDescent="0.3">
      <c r="A9">
        <v>23755399</v>
      </c>
      <c r="B9" t="s">
        <v>6</v>
      </c>
      <c r="C9" t="s">
        <v>27</v>
      </c>
      <c r="D9" t="s">
        <v>13</v>
      </c>
      <c r="E9" t="s">
        <v>13</v>
      </c>
      <c r="F9" t="s">
        <v>14</v>
      </c>
      <c r="H9" s="25"/>
    </row>
    <row r="10" spans="1:8" x14ac:dyDescent="0.3">
      <c r="A10">
        <v>27447600</v>
      </c>
      <c r="B10" t="s">
        <v>6</v>
      </c>
      <c r="C10" t="s">
        <v>28</v>
      </c>
      <c r="D10" t="s">
        <v>29</v>
      </c>
      <c r="E10" t="s">
        <v>13</v>
      </c>
      <c r="F10" t="s">
        <v>14</v>
      </c>
      <c r="H10" s="25"/>
    </row>
    <row r="11" spans="1:8" x14ac:dyDescent="0.3">
      <c r="A11">
        <v>67712199</v>
      </c>
      <c r="B11" t="s">
        <v>10</v>
      </c>
      <c r="C11" t="s">
        <v>14</v>
      </c>
      <c r="D11" t="s">
        <v>17</v>
      </c>
      <c r="E11" t="s">
        <v>21</v>
      </c>
      <c r="F11" t="s">
        <v>22</v>
      </c>
      <c r="H11" s="25"/>
    </row>
    <row r="12" spans="1:8" x14ac:dyDescent="0.3">
      <c r="A12">
        <v>200667400</v>
      </c>
      <c r="B12" t="s">
        <v>6</v>
      </c>
      <c r="C12" s="14" t="s">
        <v>243</v>
      </c>
      <c r="D12" t="s">
        <v>52</v>
      </c>
      <c r="E12" t="s">
        <v>13</v>
      </c>
      <c r="F12" t="s">
        <v>18</v>
      </c>
      <c r="H12" s="25"/>
    </row>
    <row r="13" spans="1:8" x14ac:dyDescent="0.3">
      <c r="A13">
        <v>203221000</v>
      </c>
      <c r="B13" t="s">
        <v>6</v>
      </c>
      <c r="C13" t="s">
        <v>24</v>
      </c>
      <c r="D13" t="s">
        <v>244</v>
      </c>
      <c r="E13" t="s">
        <v>13</v>
      </c>
      <c r="F13" t="s">
        <v>18</v>
      </c>
      <c r="H13" s="25"/>
    </row>
    <row r="14" spans="1:8" x14ac:dyDescent="0.3">
      <c r="A14">
        <v>238473800</v>
      </c>
      <c r="B14" t="s">
        <v>6</v>
      </c>
      <c r="C14" t="s">
        <v>16</v>
      </c>
      <c r="D14" t="s">
        <v>25</v>
      </c>
      <c r="E14" t="s">
        <v>34</v>
      </c>
      <c r="F14" t="s">
        <v>22</v>
      </c>
      <c r="H14" s="25"/>
    </row>
    <row r="15" spans="1:8" x14ac:dyDescent="0.3">
      <c r="A15">
        <v>420804499</v>
      </c>
      <c r="B15" t="s">
        <v>6</v>
      </c>
      <c r="C15" t="s">
        <v>243</v>
      </c>
      <c r="D15" t="s">
        <v>29</v>
      </c>
      <c r="E15" t="s">
        <v>13</v>
      </c>
      <c r="F15" t="s">
        <v>31</v>
      </c>
      <c r="H15" s="25"/>
    </row>
    <row r="16" spans="1:8" x14ac:dyDescent="0.3">
      <c r="A16">
        <v>434526899</v>
      </c>
      <c r="B16" t="s">
        <v>6</v>
      </c>
      <c r="C16" t="s">
        <v>245</v>
      </c>
      <c r="D16" t="s">
        <v>37</v>
      </c>
      <c r="E16" t="s">
        <v>13</v>
      </c>
      <c r="F16" t="s">
        <v>31</v>
      </c>
      <c r="H16" s="25"/>
    </row>
    <row r="17" spans="1:8" x14ac:dyDescent="0.3">
      <c r="A17">
        <v>636683099</v>
      </c>
      <c r="B17" t="s">
        <v>6</v>
      </c>
      <c r="C17" t="s">
        <v>32</v>
      </c>
      <c r="D17" t="s">
        <v>246</v>
      </c>
      <c r="E17" t="s">
        <v>13</v>
      </c>
      <c r="F17" t="s">
        <v>33</v>
      </c>
      <c r="H17" s="25"/>
    </row>
    <row r="18" spans="1:8" x14ac:dyDescent="0.3">
      <c r="A18">
        <v>870689900</v>
      </c>
      <c r="B18" t="s">
        <v>6</v>
      </c>
      <c r="C18" t="s">
        <v>247</v>
      </c>
      <c r="D18" t="s">
        <v>248</v>
      </c>
      <c r="E18" t="s">
        <v>13</v>
      </c>
      <c r="F18" t="s">
        <v>23</v>
      </c>
      <c r="H18" s="25"/>
    </row>
    <row r="19" spans="1:8" x14ac:dyDescent="0.3">
      <c r="A19">
        <v>917298100</v>
      </c>
      <c r="B19" t="s">
        <v>6</v>
      </c>
      <c r="C19" t="s">
        <v>35</v>
      </c>
      <c r="D19" t="s">
        <v>36</v>
      </c>
      <c r="E19" t="s">
        <v>13</v>
      </c>
      <c r="F19" t="s">
        <v>33</v>
      </c>
      <c r="H19" s="25"/>
    </row>
    <row r="20" spans="1:8" x14ac:dyDescent="0.3">
      <c r="A20">
        <v>919822200</v>
      </c>
      <c r="B20" t="s">
        <v>6</v>
      </c>
      <c r="C20" t="s">
        <v>249</v>
      </c>
      <c r="D20" t="s">
        <v>250</v>
      </c>
      <c r="E20" t="s">
        <v>13</v>
      </c>
      <c r="F20" t="s">
        <v>33</v>
      </c>
      <c r="H20" s="25"/>
    </row>
    <row r="21" spans="1:8" x14ac:dyDescent="0.3">
      <c r="A21">
        <v>1092877500</v>
      </c>
      <c r="B21" t="s">
        <v>6</v>
      </c>
      <c r="C21" t="s">
        <v>251</v>
      </c>
      <c r="D21" t="s">
        <v>30</v>
      </c>
      <c r="E21" t="s">
        <v>13</v>
      </c>
      <c r="F21" t="s">
        <v>38</v>
      </c>
      <c r="H21" s="25"/>
    </row>
    <row r="22" spans="1:8" x14ac:dyDescent="0.3">
      <c r="A22">
        <v>1121648999</v>
      </c>
      <c r="B22" t="s">
        <v>6</v>
      </c>
      <c r="C22" t="s">
        <v>252</v>
      </c>
      <c r="D22" t="s">
        <v>253</v>
      </c>
      <c r="E22" t="s">
        <v>13</v>
      </c>
      <c r="F22" t="s">
        <v>38</v>
      </c>
      <c r="H22" s="25"/>
    </row>
    <row r="23" spans="1:8" x14ac:dyDescent="0.3">
      <c r="A23">
        <v>1359753200</v>
      </c>
      <c r="B23" t="s">
        <v>6</v>
      </c>
      <c r="C23" t="s">
        <v>254</v>
      </c>
      <c r="D23" t="s">
        <v>39</v>
      </c>
      <c r="E23" t="s">
        <v>13</v>
      </c>
      <c r="F23" t="s">
        <v>15</v>
      </c>
      <c r="H23" s="25"/>
    </row>
    <row r="24" spans="1:8" x14ac:dyDescent="0.3">
      <c r="A24">
        <v>1386690100</v>
      </c>
      <c r="B24" t="s">
        <v>6</v>
      </c>
      <c r="C24" t="s">
        <v>40</v>
      </c>
      <c r="D24" t="s">
        <v>41</v>
      </c>
      <c r="E24" t="s">
        <v>13</v>
      </c>
      <c r="F24" t="s">
        <v>15</v>
      </c>
      <c r="H24" s="25"/>
    </row>
    <row r="25" spans="1:8" x14ac:dyDescent="0.3">
      <c r="A25">
        <v>1638646100</v>
      </c>
      <c r="B25" t="s">
        <v>6</v>
      </c>
      <c r="C25" t="s">
        <v>42</v>
      </c>
      <c r="D25" t="s">
        <v>43</v>
      </c>
      <c r="E25" t="s">
        <v>13</v>
      </c>
      <c r="F25" t="s">
        <v>44</v>
      </c>
      <c r="H25" s="25"/>
    </row>
    <row r="26" spans="1:8" x14ac:dyDescent="0.3">
      <c r="A26">
        <v>2102746200</v>
      </c>
      <c r="B26" t="s">
        <v>23</v>
      </c>
      <c r="C26" t="s">
        <v>255</v>
      </c>
      <c r="D26" t="s">
        <v>253</v>
      </c>
      <c r="E26" t="s">
        <v>9</v>
      </c>
      <c r="F26" t="s">
        <v>6</v>
      </c>
      <c r="H26" s="25"/>
    </row>
    <row r="27" spans="1:8" x14ac:dyDescent="0.3">
      <c r="A27">
        <v>2414565800</v>
      </c>
      <c r="B27" t="s">
        <v>6</v>
      </c>
      <c r="C27" t="s">
        <v>45</v>
      </c>
      <c r="D27" t="s">
        <v>46</v>
      </c>
      <c r="E27" t="s">
        <v>13</v>
      </c>
      <c r="F27" t="s">
        <v>6</v>
      </c>
      <c r="H27" s="25"/>
    </row>
    <row r="28" spans="1:8" x14ac:dyDescent="0.3">
      <c r="A28">
        <v>9128339900</v>
      </c>
      <c r="B28" t="s">
        <v>23</v>
      </c>
      <c r="C28" t="s">
        <v>31</v>
      </c>
      <c r="D28" t="s">
        <v>17</v>
      </c>
      <c r="E28" t="s">
        <v>21</v>
      </c>
      <c r="F28" t="s">
        <v>10</v>
      </c>
      <c r="H28" s="25"/>
    </row>
    <row r="29" spans="1:8" x14ac:dyDescent="0.3">
      <c r="A29">
        <v>21286973600</v>
      </c>
      <c r="B29" t="s">
        <v>256</v>
      </c>
      <c r="C29" t="s">
        <v>23</v>
      </c>
      <c r="D29" t="s">
        <v>12</v>
      </c>
      <c r="E29" t="s">
        <v>34</v>
      </c>
      <c r="F29" t="s">
        <v>14</v>
      </c>
      <c r="H29" s="25"/>
    </row>
    <row r="30" spans="1:8" x14ac:dyDescent="0.3">
      <c r="A30">
        <v>41787024200</v>
      </c>
      <c r="B30" t="s">
        <v>10</v>
      </c>
      <c r="C30" t="s">
        <v>15</v>
      </c>
      <c r="D30" t="s">
        <v>12</v>
      </c>
      <c r="E30" t="s">
        <v>34</v>
      </c>
      <c r="F30" t="s">
        <v>14</v>
      </c>
      <c r="H30" s="2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72658-A985-44B6-8B92-9CD134EEA9E8}">
  <dimension ref="A1:AA62"/>
  <sheetViews>
    <sheetView tabSelected="1" topLeftCell="H4" workbookViewId="0">
      <selection activeCell="U24" sqref="U24"/>
    </sheetView>
  </sheetViews>
  <sheetFormatPr defaultRowHeight="14.4" x14ac:dyDescent="0.3"/>
  <cols>
    <col min="1" max="1" width="16.21875" bestFit="1" customWidth="1"/>
    <col min="2" max="5" width="13.21875" bestFit="1" customWidth="1"/>
    <col min="6" max="6" width="11.77734375" bestFit="1" customWidth="1"/>
    <col min="16" max="16" width="11.33203125" bestFit="1" customWidth="1"/>
    <col min="17" max="17" width="10.77734375" customWidth="1"/>
    <col min="18" max="19" width="9.109375" bestFit="1" customWidth="1"/>
    <col min="20" max="20" width="9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241</v>
      </c>
      <c r="E1" t="s">
        <v>242</v>
      </c>
      <c r="F1" t="s">
        <v>5</v>
      </c>
      <c r="V1" t="s">
        <v>487</v>
      </c>
      <c r="W1" t="s">
        <v>488</v>
      </c>
      <c r="X1" t="s">
        <v>489</v>
      </c>
      <c r="Y1" t="s">
        <v>490</v>
      </c>
      <c r="Z1" t="s">
        <v>467</v>
      </c>
      <c r="AA1" t="s">
        <v>491</v>
      </c>
    </row>
    <row r="2" spans="1:27" x14ac:dyDescent="0.3">
      <c r="A2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H2" s="25">
        <f>evaluation_run_0__43[[#This Row],[elapsed_nanos]]/10^9</f>
        <v>0</v>
      </c>
      <c r="I2">
        <f>VALUE(_xlfn.TEXTBEFORE(evaluation_run_0__43[[#This Row],[objective_0]], "."))</f>
        <v>0</v>
      </c>
      <c r="J2">
        <f>VALUE(_xlfn.TEXTBEFORE(evaluation_run_0__43[[#This Row],[objective_1]], "."))</f>
        <v>44</v>
      </c>
      <c r="K2">
        <f>VALUE(_xlfn.TEXTBEFORE(evaluation_run_0__43[[#This Row],[objective_4]], "."))</f>
        <v>-9</v>
      </c>
      <c r="L2">
        <f>VALUE(_xlfn.TEXTBEFORE(evaluation_run_0__43[[#This Row],[objective_5]], "."))</f>
        <v>-20</v>
      </c>
      <c r="M2">
        <f>VALUE(_xlfn.TEXTBEFORE(evaluation_run_0__43[[#This Row],[constraint]], "."))</f>
        <v>9</v>
      </c>
      <c r="P2" s="25">
        <f>I2</f>
        <v>0</v>
      </c>
      <c r="Q2" s="25">
        <f>J2</f>
        <v>44</v>
      </c>
      <c r="R2" s="25">
        <f t="shared" ref="R2:T2" si="0">K2</f>
        <v>-9</v>
      </c>
      <c r="S2" s="25">
        <f>L2+22</f>
        <v>2</v>
      </c>
      <c r="T2" s="25">
        <f t="shared" si="0"/>
        <v>9</v>
      </c>
      <c r="V2" s="25">
        <f>evaluation_run_0__43[[#This Row],[elapsed_nanos]]/10^9</f>
        <v>0</v>
      </c>
      <c r="W2" s="25">
        <f>IF(P$34=0,0,P34/P$34)</f>
        <v>0</v>
      </c>
      <c r="X2" s="25">
        <f>IF(Q$34=0,0,Q34/Q$34)</f>
        <v>1</v>
      </c>
      <c r="Y2" s="25">
        <f t="shared" ref="Y2:AA2" si="1">IF(R$34=0,0,R34/R$34)</f>
        <v>1</v>
      </c>
      <c r="Z2" s="25">
        <f t="shared" si="1"/>
        <v>1</v>
      </c>
      <c r="AA2" s="25">
        <f>IF(T$34=0,0,T34/T$34)</f>
        <v>1</v>
      </c>
    </row>
    <row r="3" spans="1:27" x14ac:dyDescent="0.3">
      <c r="A3">
        <v>1077000</v>
      </c>
      <c r="B3" t="s">
        <v>6</v>
      </c>
      <c r="C3" t="s">
        <v>11</v>
      </c>
      <c r="D3" t="s">
        <v>12</v>
      </c>
      <c r="E3" t="s">
        <v>13</v>
      </c>
      <c r="F3" t="s">
        <v>14</v>
      </c>
      <c r="H3" s="25">
        <f>evaluation_run_0__43[[#This Row],[elapsed_nanos]]/10^9</f>
        <v>1.077E-3</v>
      </c>
      <c r="I3">
        <f>VALUE(_xlfn.TEXTBEFORE(evaluation_run_0__43[[#This Row],[objective_0]], "."))</f>
        <v>0</v>
      </c>
      <c r="J3">
        <f>VALUE(_xlfn.TEXTBEFORE(evaluation_run_0__43[[#This Row],[objective_1]], "."))</f>
        <v>52</v>
      </c>
      <c r="K3">
        <f>VALUE(_xlfn.TEXTBEFORE(evaluation_run_0__43[[#This Row],[objective_4]], "."))</f>
        <v>-14</v>
      </c>
      <c r="L3">
        <f>VALUE(_xlfn.TEXTBEFORE(evaluation_run_0__43[[#This Row],[objective_5]], "."))</f>
        <v>-19</v>
      </c>
      <c r="M3">
        <f>VALUE(_xlfn.TEXTBEFORE(evaluation_run_0__43[[#This Row],[constraint]], "."))</f>
        <v>8</v>
      </c>
      <c r="P3" s="25">
        <f>MIN(I3,P2)</f>
        <v>0</v>
      </c>
      <c r="Q3" s="25">
        <f t="shared" ref="Q3:T3" si="2">MIN(J3,Q2)</f>
        <v>44</v>
      </c>
      <c r="R3" s="25">
        <f t="shared" si="2"/>
        <v>-14</v>
      </c>
      <c r="S3" s="25">
        <f>MIN(L3+22,S2)</f>
        <v>2</v>
      </c>
      <c r="T3" s="25">
        <f t="shared" si="2"/>
        <v>8</v>
      </c>
      <c r="V3" s="25">
        <f>evaluation_run_0__43[[#This Row],[elapsed_nanos]]/10^9</f>
        <v>1.077E-3</v>
      </c>
      <c r="W3" s="25">
        <f t="shared" ref="W3:X3" si="3">IF(P$34=0,0,P35/P$34)</f>
        <v>0</v>
      </c>
      <c r="X3" s="25">
        <f t="shared" si="3"/>
        <v>1</v>
      </c>
      <c r="Y3" s="25">
        <f t="shared" ref="Y3:Y30" si="4">IF(R$34=0,0,R35/R$34)</f>
        <v>0.86842105263157898</v>
      </c>
      <c r="Z3" s="25">
        <f t="shared" ref="Z3:AA18" si="5">IF(S$34=0,0,S35/S$34)</f>
        <v>1</v>
      </c>
      <c r="AA3" s="25">
        <f t="shared" si="5"/>
        <v>0.88888888888888884</v>
      </c>
    </row>
    <row r="4" spans="1:27" x14ac:dyDescent="0.3">
      <c r="A4">
        <v>2291900</v>
      </c>
      <c r="B4" t="s">
        <v>15</v>
      </c>
      <c r="C4" t="s">
        <v>16</v>
      </c>
      <c r="D4" t="s">
        <v>17</v>
      </c>
      <c r="E4" t="s">
        <v>9</v>
      </c>
      <c r="F4" t="s">
        <v>10</v>
      </c>
      <c r="H4" s="25">
        <f>evaluation_run_0__43[[#This Row],[elapsed_nanos]]/10^9</f>
        <v>2.2918999999999999E-3</v>
      </c>
      <c r="I4">
        <f>VALUE(_xlfn.TEXTBEFORE(evaluation_run_0__43[[#This Row],[objective_0]], "."))</f>
        <v>2</v>
      </c>
      <c r="J4">
        <f>VALUE(_xlfn.TEXTBEFORE(evaluation_run_0__43[[#This Row],[objective_1]], "."))</f>
        <v>24</v>
      </c>
      <c r="K4">
        <f>VALUE(_xlfn.TEXTBEFORE(evaluation_run_0__43[[#This Row],[objective_4]], "."))</f>
        <v>-6</v>
      </c>
      <c r="L4">
        <f>VALUE(_xlfn.TEXTBEFORE(evaluation_run_0__43[[#This Row],[objective_5]], "."))</f>
        <v>-20</v>
      </c>
      <c r="M4">
        <f>VALUE(_xlfn.TEXTBEFORE(evaluation_run_0__43[[#This Row],[constraint]], "."))</f>
        <v>9</v>
      </c>
      <c r="P4" s="25">
        <f>MIN(I4,P3)</f>
        <v>0</v>
      </c>
      <c r="Q4" s="25">
        <f t="shared" ref="Q4:Q5" si="6">MIN(J4,Q3)</f>
        <v>24</v>
      </c>
      <c r="R4" s="25">
        <f t="shared" ref="R4:R5" si="7">MIN(K4,R3)</f>
        <v>-14</v>
      </c>
      <c r="S4" s="25">
        <f t="shared" ref="S4:S30" si="8">MIN(L4+22,S3)</f>
        <v>2</v>
      </c>
      <c r="T4" s="25">
        <f t="shared" ref="T4:T5" si="9">MIN(M4,T3)</f>
        <v>8</v>
      </c>
      <c r="V4" s="25">
        <f>evaluation_run_0__43[[#This Row],[elapsed_nanos]]/10^9</f>
        <v>2.2918999999999999E-3</v>
      </c>
      <c r="W4" s="25">
        <f t="shared" ref="W4:X4" si="10">IF(P$34=0,0,P36/P$34)</f>
        <v>0</v>
      </c>
      <c r="X4" s="25">
        <f t="shared" si="10"/>
        <v>0.54545454545454541</v>
      </c>
      <c r="Y4" s="25">
        <f t="shared" si="4"/>
        <v>0.86842105263157898</v>
      </c>
      <c r="Z4" s="25">
        <f t="shared" si="5"/>
        <v>1</v>
      </c>
      <c r="AA4" s="25">
        <f t="shared" ref="AA4:AA30" si="11">IF(T$34=0,0,T36/T$34)</f>
        <v>0.88888888888888884</v>
      </c>
    </row>
    <row r="5" spans="1:27" x14ac:dyDescent="0.3">
      <c r="A5">
        <v>6323200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H5" s="25">
        <f>evaluation_run_0__43[[#This Row],[elapsed_nanos]]/10^9</f>
        <v>6.3232000000000002E-3</v>
      </c>
      <c r="I5">
        <f>VALUE(_xlfn.TEXTBEFORE(evaluation_run_0__43[[#This Row],[objective_0]], "."))</f>
        <v>7</v>
      </c>
      <c r="J5">
        <f>VALUE(_xlfn.TEXTBEFORE(evaluation_run_0__43[[#This Row],[objective_1]], "."))</f>
        <v>12</v>
      </c>
      <c r="K5">
        <f>VALUE(_xlfn.TEXTBEFORE(evaluation_run_0__43[[#This Row],[objective_4]], "."))</f>
        <v>-7</v>
      </c>
      <c r="L5">
        <f>VALUE(_xlfn.TEXTBEFORE(evaluation_run_0__43[[#This Row],[objective_5]], "."))</f>
        <v>-21</v>
      </c>
      <c r="M5">
        <f>VALUE(_xlfn.TEXTBEFORE(evaluation_run_0__43[[#This Row],[constraint]], "."))</f>
        <v>10</v>
      </c>
      <c r="P5" s="25">
        <f t="shared" ref="P5:P7" si="12">MIN(I5,P4)</f>
        <v>0</v>
      </c>
      <c r="Q5" s="25">
        <f t="shared" si="6"/>
        <v>12</v>
      </c>
      <c r="R5" s="25">
        <f t="shared" si="7"/>
        <v>-14</v>
      </c>
      <c r="S5" s="25">
        <f t="shared" si="8"/>
        <v>1</v>
      </c>
      <c r="T5" s="25">
        <f t="shared" si="9"/>
        <v>8</v>
      </c>
      <c r="V5" s="25">
        <f>evaluation_run_0__43[[#This Row],[elapsed_nanos]]/10^9</f>
        <v>6.3232000000000002E-3</v>
      </c>
      <c r="W5" s="25">
        <f t="shared" ref="W5:X5" si="13">IF(P$34=0,0,P37/P$34)</f>
        <v>0</v>
      </c>
      <c r="X5" s="25">
        <f t="shared" si="13"/>
        <v>0.27272727272727271</v>
      </c>
      <c r="Y5" s="25">
        <f t="shared" si="4"/>
        <v>0.86842105263157898</v>
      </c>
      <c r="Z5" s="25">
        <f t="shared" si="5"/>
        <v>0.5</v>
      </c>
      <c r="AA5" s="25">
        <f t="shared" si="11"/>
        <v>0.88888888888888884</v>
      </c>
    </row>
    <row r="6" spans="1:27" x14ac:dyDescent="0.3">
      <c r="A6">
        <v>9600000</v>
      </c>
      <c r="B6" t="s">
        <v>23</v>
      </c>
      <c r="C6" t="s">
        <v>22</v>
      </c>
      <c r="D6" t="s">
        <v>17</v>
      </c>
      <c r="E6" t="s">
        <v>21</v>
      </c>
      <c r="F6" t="s">
        <v>22</v>
      </c>
      <c r="H6" s="25">
        <f>evaluation_run_0__43[[#This Row],[elapsed_nanos]]/10^9</f>
        <v>9.5999999999999992E-3</v>
      </c>
      <c r="I6">
        <f>VALUE(_xlfn.TEXTBEFORE(evaluation_run_0__43[[#This Row],[objective_0]], "."))</f>
        <v>4</v>
      </c>
      <c r="J6">
        <f>VALUE(_xlfn.TEXTBEFORE(evaluation_run_0__43[[#This Row],[objective_1]], "."))</f>
        <v>10</v>
      </c>
      <c r="K6">
        <f>VALUE(_xlfn.TEXTBEFORE(evaluation_run_0__43[[#This Row],[objective_4]], "."))</f>
        <v>-6</v>
      </c>
      <c r="L6">
        <f>VALUE(_xlfn.TEXTBEFORE(evaluation_run_0__43[[#This Row],[objective_5]], "."))</f>
        <v>-21</v>
      </c>
      <c r="M6">
        <f>VALUE(_xlfn.TEXTBEFORE(evaluation_run_0__43[[#This Row],[constraint]], "."))</f>
        <v>10</v>
      </c>
      <c r="P6" s="25">
        <f t="shared" si="12"/>
        <v>0</v>
      </c>
      <c r="Q6" s="25">
        <f t="shared" ref="Q6:Q7" si="14">MIN(J6,Q5)</f>
        <v>10</v>
      </c>
      <c r="R6" s="25">
        <f t="shared" ref="R6:R7" si="15">MIN(K6,R5)</f>
        <v>-14</v>
      </c>
      <c r="S6" s="25">
        <f t="shared" si="8"/>
        <v>1</v>
      </c>
      <c r="T6" s="25">
        <f t="shared" ref="T6:T7" si="16">MIN(M6,T5)</f>
        <v>8</v>
      </c>
      <c r="V6" s="25">
        <f>evaluation_run_0__43[[#This Row],[elapsed_nanos]]/10^9</f>
        <v>9.5999999999999992E-3</v>
      </c>
      <c r="W6" s="25">
        <f t="shared" ref="W6:X6" si="17">IF(P$34=0,0,P38/P$34)</f>
        <v>0</v>
      </c>
      <c r="X6" s="25">
        <f t="shared" si="17"/>
        <v>0.22727272727272727</v>
      </c>
      <c r="Y6" s="25">
        <f t="shared" si="4"/>
        <v>0.86842105263157898</v>
      </c>
      <c r="Z6" s="25">
        <f t="shared" si="5"/>
        <v>0.5</v>
      </c>
      <c r="AA6" s="25">
        <f t="shared" si="11"/>
        <v>0.88888888888888884</v>
      </c>
    </row>
    <row r="7" spans="1:27" x14ac:dyDescent="0.3">
      <c r="A7">
        <v>19858900</v>
      </c>
      <c r="B7" t="s">
        <v>6</v>
      </c>
      <c r="C7" t="s">
        <v>24</v>
      </c>
      <c r="D7" t="s">
        <v>25</v>
      </c>
      <c r="E7" t="s">
        <v>13</v>
      </c>
      <c r="F7" t="s">
        <v>14</v>
      </c>
      <c r="H7" s="25">
        <f>evaluation_run_0__43[[#This Row],[elapsed_nanos]]/10^9</f>
        <v>1.9858899999999999E-2</v>
      </c>
      <c r="I7">
        <f>VALUE(_xlfn.TEXTBEFORE(evaluation_run_0__43[[#This Row],[objective_0]], "."))</f>
        <v>0</v>
      </c>
      <c r="J7">
        <f>VALUE(_xlfn.TEXTBEFORE(evaluation_run_0__43[[#This Row],[objective_1]], "."))</f>
        <v>48</v>
      </c>
      <c r="K7">
        <f>VALUE(_xlfn.TEXTBEFORE(evaluation_run_0__43[[#This Row],[objective_4]], "."))</f>
        <v>-16</v>
      </c>
      <c r="L7">
        <f>VALUE(_xlfn.TEXTBEFORE(evaluation_run_0__43[[#This Row],[objective_5]], "."))</f>
        <v>-19</v>
      </c>
      <c r="M7">
        <f>VALUE(_xlfn.TEXTBEFORE(evaluation_run_0__43[[#This Row],[constraint]], "."))</f>
        <v>8</v>
      </c>
      <c r="P7" s="25">
        <f t="shared" si="12"/>
        <v>0</v>
      </c>
      <c r="Q7" s="25">
        <f t="shared" si="14"/>
        <v>10</v>
      </c>
      <c r="R7" s="25">
        <f t="shared" si="15"/>
        <v>-16</v>
      </c>
      <c r="S7" s="25">
        <f t="shared" si="8"/>
        <v>1</v>
      </c>
      <c r="T7" s="25">
        <f t="shared" si="16"/>
        <v>8</v>
      </c>
      <c r="V7" s="25">
        <f>evaluation_run_0__43[[#This Row],[elapsed_nanos]]/10^9</f>
        <v>1.9858899999999999E-2</v>
      </c>
      <c r="W7" s="25">
        <f t="shared" ref="W7:X7" si="18">IF(P$34=0,0,P39/P$34)</f>
        <v>0</v>
      </c>
      <c r="X7" s="25">
        <f t="shared" si="18"/>
        <v>0.22727272727272727</v>
      </c>
      <c r="Y7" s="25">
        <f t="shared" si="4"/>
        <v>0.81578947368421051</v>
      </c>
      <c r="Z7" s="25">
        <f t="shared" si="5"/>
        <v>0.5</v>
      </c>
      <c r="AA7" s="25">
        <f t="shared" si="11"/>
        <v>0.88888888888888884</v>
      </c>
    </row>
    <row r="8" spans="1:27" x14ac:dyDescent="0.3">
      <c r="A8">
        <v>23013600</v>
      </c>
      <c r="B8" t="s">
        <v>6</v>
      </c>
      <c r="C8" t="s">
        <v>7</v>
      </c>
      <c r="D8" t="s">
        <v>26</v>
      </c>
      <c r="E8" t="s">
        <v>13</v>
      </c>
      <c r="F8" t="s">
        <v>14</v>
      </c>
      <c r="H8" s="25">
        <f>evaluation_run_0__43[[#This Row],[elapsed_nanos]]/10^9</f>
        <v>2.3013599999999999E-2</v>
      </c>
      <c r="I8">
        <f>VALUE(_xlfn.TEXTBEFORE(evaluation_run_0__43[[#This Row],[objective_0]], "."))</f>
        <v>0</v>
      </c>
      <c r="J8">
        <f>VALUE(_xlfn.TEXTBEFORE(evaluation_run_0__43[[#This Row],[objective_1]], "."))</f>
        <v>44</v>
      </c>
      <c r="K8">
        <f>VALUE(_xlfn.TEXTBEFORE(evaluation_run_0__43[[#This Row],[objective_4]], "."))</f>
        <v>-18</v>
      </c>
      <c r="L8">
        <f>VALUE(_xlfn.TEXTBEFORE(evaluation_run_0__43[[#This Row],[objective_5]], "."))</f>
        <v>-19</v>
      </c>
      <c r="M8">
        <f>VALUE(_xlfn.TEXTBEFORE(evaluation_run_0__43[[#This Row],[constraint]], "."))</f>
        <v>8</v>
      </c>
      <c r="P8" s="25">
        <f t="shared" ref="P8:P30" si="19">MIN(I8,P7)</f>
        <v>0</v>
      </c>
      <c r="Q8" s="25">
        <f t="shared" ref="Q8:Q30" si="20">MIN(J8,Q7)</f>
        <v>10</v>
      </c>
      <c r="R8" s="25">
        <f t="shared" ref="R8:R30" si="21">MIN(K8,R7)</f>
        <v>-18</v>
      </c>
      <c r="S8" s="25">
        <f t="shared" si="8"/>
        <v>1</v>
      </c>
      <c r="T8" s="25">
        <f t="shared" ref="T8:T30" si="22">MIN(M8,T7)</f>
        <v>8</v>
      </c>
      <c r="V8" s="25">
        <f>evaluation_run_0__43[[#This Row],[elapsed_nanos]]/10^9</f>
        <v>2.3013599999999999E-2</v>
      </c>
      <c r="W8" s="25">
        <f t="shared" ref="W8:X8" si="23">IF(P$34=0,0,P40/P$34)</f>
        <v>0</v>
      </c>
      <c r="X8" s="25">
        <f t="shared" si="23"/>
        <v>0.22727272727272727</v>
      </c>
      <c r="Y8" s="25">
        <f t="shared" si="4"/>
        <v>0.76315789473684215</v>
      </c>
      <c r="Z8" s="25">
        <f t="shared" si="5"/>
        <v>0.5</v>
      </c>
      <c r="AA8" s="25">
        <f t="shared" si="11"/>
        <v>0.88888888888888884</v>
      </c>
    </row>
    <row r="9" spans="1:27" x14ac:dyDescent="0.3">
      <c r="A9">
        <v>23755399</v>
      </c>
      <c r="B9" t="s">
        <v>6</v>
      </c>
      <c r="C9" t="s">
        <v>27</v>
      </c>
      <c r="D9" t="s">
        <v>13</v>
      </c>
      <c r="E9" t="s">
        <v>13</v>
      </c>
      <c r="F9" t="s">
        <v>14</v>
      </c>
      <c r="H9" s="25">
        <f>evaluation_run_0__43[[#This Row],[elapsed_nanos]]/10^9</f>
        <v>2.3755399E-2</v>
      </c>
      <c r="I9">
        <f>VALUE(_xlfn.TEXTBEFORE(evaluation_run_0__43[[#This Row],[objective_0]], "."))</f>
        <v>0</v>
      </c>
      <c r="J9">
        <f>VALUE(_xlfn.TEXTBEFORE(evaluation_run_0__43[[#This Row],[objective_1]], "."))</f>
        <v>46</v>
      </c>
      <c r="K9">
        <f>VALUE(_xlfn.TEXTBEFORE(evaluation_run_0__43[[#This Row],[objective_4]], "."))</f>
        <v>-19</v>
      </c>
      <c r="L9">
        <f>VALUE(_xlfn.TEXTBEFORE(evaluation_run_0__43[[#This Row],[objective_5]], "."))</f>
        <v>-19</v>
      </c>
      <c r="M9">
        <f>VALUE(_xlfn.TEXTBEFORE(evaluation_run_0__43[[#This Row],[constraint]], "."))</f>
        <v>8</v>
      </c>
      <c r="P9" s="25">
        <f t="shared" si="19"/>
        <v>0</v>
      </c>
      <c r="Q9" s="25">
        <f t="shared" si="20"/>
        <v>10</v>
      </c>
      <c r="R9" s="25">
        <f t="shared" si="21"/>
        <v>-19</v>
      </c>
      <c r="S9" s="25">
        <f t="shared" si="8"/>
        <v>1</v>
      </c>
      <c r="T9" s="25">
        <f t="shared" si="22"/>
        <v>8</v>
      </c>
      <c r="V9" s="25">
        <f>evaluation_run_0__43[[#This Row],[elapsed_nanos]]/10^9</f>
        <v>2.3755399E-2</v>
      </c>
      <c r="W9" s="25">
        <f t="shared" ref="W9:X9" si="24">IF(P$34=0,0,P41/P$34)</f>
        <v>0</v>
      </c>
      <c r="X9" s="25">
        <f t="shared" si="24"/>
        <v>0.22727272727272727</v>
      </c>
      <c r="Y9" s="25">
        <f t="shared" si="4"/>
        <v>0.73684210526315785</v>
      </c>
      <c r="Z9" s="25">
        <f t="shared" si="5"/>
        <v>0.5</v>
      </c>
      <c r="AA9" s="25">
        <f t="shared" si="11"/>
        <v>0.88888888888888884</v>
      </c>
    </row>
    <row r="10" spans="1:27" x14ac:dyDescent="0.3">
      <c r="A10">
        <v>27447600</v>
      </c>
      <c r="B10" t="s">
        <v>6</v>
      </c>
      <c r="C10" t="s">
        <v>28</v>
      </c>
      <c r="D10" t="s">
        <v>29</v>
      </c>
      <c r="E10" t="s">
        <v>13</v>
      </c>
      <c r="F10" t="s">
        <v>14</v>
      </c>
      <c r="H10" s="25">
        <f>evaluation_run_0__43[[#This Row],[elapsed_nanos]]/10^9</f>
        <v>2.7447599999999999E-2</v>
      </c>
      <c r="I10">
        <f>VALUE(_xlfn.TEXTBEFORE(evaluation_run_0__43[[#This Row],[objective_0]], "."))</f>
        <v>0</v>
      </c>
      <c r="J10">
        <f>VALUE(_xlfn.TEXTBEFORE(evaluation_run_0__43[[#This Row],[objective_1]], "."))</f>
        <v>40</v>
      </c>
      <c r="K10">
        <f>VALUE(_xlfn.TEXTBEFORE(evaluation_run_0__43[[#This Row],[objective_4]], "."))</f>
        <v>-26</v>
      </c>
      <c r="L10">
        <f>VALUE(_xlfn.TEXTBEFORE(evaluation_run_0__43[[#This Row],[objective_5]], "."))</f>
        <v>-19</v>
      </c>
      <c r="M10">
        <f>VALUE(_xlfn.TEXTBEFORE(evaluation_run_0__43[[#This Row],[constraint]], "."))</f>
        <v>8</v>
      </c>
      <c r="P10" s="25">
        <f t="shared" si="19"/>
        <v>0</v>
      </c>
      <c r="Q10" s="25">
        <f t="shared" si="20"/>
        <v>10</v>
      </c>
      <c r="R10" s="25">
        <f t="shared" si="21"/>
        <v>-26</v>
      </c>
      <c r="S10" s="25">
        <f t="shared" si="8"/>
        <v>1</v>
      </c>
      <c r="T10" s="25">
        <f t="shared" si="22"/>
        <v>8</v>
      </c>
      <c r="V10" s="25">
        <f>evaluation_run_0__43[[#This Row],[elapsed_nanos]]/10^9</f>
        <v>2.7447599999999999E-2</v>
      </c>
      <c r="W10" s="25">
        <f t="shared" ref="W10:X10" si="25">IF(P$34=0,0,P42/P$34)</f>
        <v>0</v>
      </c>
      <c r="X10" s="25">
        <f t="shared" si="25"/>
        <v>0.22727272727272727</v>
      </c>
      <c r="Y10" s="25">
        <f t="shared" si="4"/>
        <v>0.55263157894736847</v>
      </c>
      <c r="Z10" s="25">
        <f t="shared" si="5"/>
        <v>0.5</v>
      </c>
      <c r="AA10" s="25">
        <f t="shared" si="11"/>
        <v>0.88888888888888884</v>
      </c>
    </row>
    <row r="11" spans="1:27" x14ac:dyDescent="0.3">
      <c r="A11">
        <v>67712199</v>
      </c>
      <c r="B11" t="s">
        <v>10</v>
      </c>
      <c r="C11" t="s">
        <v>14</v>
      </c>
      <c r="D11" t="s">
        <v>17</v>
      </c>
      <c r="E11" t="s">
        <v>21</v>
      </c>
      <c r="F11" t="s">
        <v>22</v>
      </c>
      <c r="H11" s="25">
        <f>evaluation_run_0__43[[#This Row],[elapsed_nanos]]/10^9</f>
        <v>6.7712199000000001E-2</v>
      </c>
      <c r="I11">
        <f>VALUE(_xlfn.TEXTBEFORE(evaluation_run_0__43[[#This Row],[objective_0]], "."))</f>
        <v>9</v>
      </c>
      <c r="J11">
        <f>VALUE(_xlfn.TEXTBEFORE(evaluation_run_0__43[[#This Row],[objective_1]], "."))</f>
        <v>8</v>
      </c>
      <c r="K11">
        <f>VALUE(_xlfn.TEXTBEFORE(evaluation_run_0__43[[#This Row],[objective_4]], "."))</f>
        <v>-6</v>
      </c>
      <c r="L11">
        <f>VALUE(_xlfn.TEXTBEFORE(evaluation_run_0__43[[#This Row],[objective_5]], "."))</f>
        <v>-21</v>
      </c>
      <c r="M11">
        <f>VALUE(_xlfn.TEXTBEFORE(evaluation_run_0__43[[#This Row],[constraint]], "."))</f>
        <v>10</v>
      </c>
      <c r="P11" s="25">
        <f t="shared" si="19"/>
        <v>0</v>
      </c>
      <c r="Q11" s="25">
        <f t="shared" si="20"/>
        <v>8</v>
      </c>
      <c r="R11" s="25">
        <f t="shared" si="21"/>
        <v>-26</v>
      </c>
      <c r="S11" s="25">
        <f t="shared" si="8"/>
        <v>1</v>
      </c>
      <c r="T11" s="25">
        <f t="shared" si="22"/>
        <v>8</v>
      </c>
      <c r="V11" s="25">
        <f>evaluation_run_0__43[[#This Row],[elapsed_nanos]]/10^9</f>
        <v>6.7712199000000001E-2</v>
      </c>
      <c r="W11" s="25">
        <f t="shared" ref="W11:X11" si="26">IF(P$34=0,0,P43/P$34)</f>
        <v>0</v>
      </c>
      <c r="X11" s="25">
        <f t="shared" si="26"/>
        <v>0.18181818181818182</v>
      </c>
      <c r="Y11" s="25">
        <f t="shared" si="4"/>
        <v>0.55263157894736847</v>
      </c>
      <c r="Z11" s="25">
        <f t="shared" si="5"/>
        <v>0.5</v>
      </c>
      <c r="AA11" s="25">
        <f t="shared" si="11"/>
        <v>0.88888888888888884</v>
      </c>
    </row>
    <row r="12" spans="1:27" x14ac:dyDescent="0.3">
      <c r="A12">
        <v>200667400</v>
      </c>
      <c r="B12" t="s">
        <v>6</v>
      </c>
      <c r="C12" s="14" t="s">
        <v>243</v>
      </c>
      <c r="D12" t="s">
        <v>52</v>
      </c>
      <c r="E12" t="s">
        <v>13</v>
      </c>
      <c r="F12" t="s">
        <v>18</v>
      </c>
      <c r="H12" s="25">
        <f>evaluation_run_0__43[[#This Row],[elapsed_nanos]]/10^9</f>
        <v>0.2006674</v>
      </c>
      <c r="I12">
        <f>VALUE(_xlfn.TEXTBEFORE(evaluation_run_0__43[[#This Row],[objective_0]], "."))</f>
        <v>0</v>
      </c>
      <c r="J12">
        <f>VALUE(_xlfn.TEXTBEFORE(evaluation_run_0__43[[#This Row],[objective_1]], "."))</f>
        <v>72</v>
      </c>
      <c r="K12">
        <f>VALUE(_xlfn.TEXTBEFORE(evaluation_run_0__43[[#This Row],[objective_4]], "."))</f>
        <v>-12</v>
      </c>
      <c r="L12">
        <f>VALUE(_xlfn.TEXTBEFORE(evaluation_run_0__43[[#This Row],[objective_5]], "."))</f>
        <v>-19</v>
      </c>
      <c r="M12">
        <f>VALUE(_xlfn.TEXTBEFORE(evaluation_run_0__43[[#This Row],[constraint]], "."))</f>
        <v>7</v>
      </c>
      <c r="P12" s="25">
        <f t="shared" si="19"/>
        <v>0</v>
      </c>
      <c r="Q12" s="25">
        <f t="shared" si="20"/>
        <v>8</v>
      </c>
      <c r="R12" s="25">
        <f t="shared" si="21"/>
        <v>-26</v>
      </c>
      <c r="S12" s="25">
        <f t="shared" si="8"/>
        <v>1</v>
      </c>
      <c r="T12" s="25">
        <f t="shared" si="22"/>
        <v>7</v>
      </c>
      <c r="V12" s="25">
        <f>evaluation_run_0__43[[#This Row],[elapsed_nanos]]/10^9</f>
        <v>0.2006674</v>
      </c>
      <c r="W12" s="25">
        <f t="shared" ref="W12:X12" si="27">IF(P$34=0,0,P44/P$34)</f>
        <v>0</v>
      </c>
      <c r="X12" s="25">
        <f t="shared" si="27"/>
        <v>0.18181818181818182</v>
      </c>
      <c r="Y12" s="25">
        <f t="shared" si="4"/>
        <v>0.55263157894736847</v>
      </c>
      <c r="Z12" s="25">
        <f t="shared" si="5"/>
        <v>0.5</v>
      </c>
      <c r="AA12" s="25">
        <f t="shared" si="11"/>
        <v>0.77777777777777779</v>
      </c>
    </row>
    <row r="13" spans="1:27" x14ac:dyDescent="0.3">
      <c r="A13">
        <v>203221000</v>
      </c>
      <c r="B13" t="s">
        <v>6</v>
      </c>
      <c r="C13" t="s">
        <v>24</v>
      </c>
      <c r="D13" t="s">
        <v>244</v>
      </c>
      <c r="E13" t="s">
        <v>13</v>
      </c>
      <c r="F13" t="s">
        <v>18</v>
      </c>
      <c r="H13" s="25">
        <f>evaluation_run_0__43[[#This Row],[elapsed_nanos]]/10^9</f>
        <v>0.20322100000000001</v>
      </c>
      <c r="I13">
        <f>VALUE(_xlfn.TEXTBEFORE(evaluation_run_0__43[[#This Row],[objective_0]], "."))</f>
        <v>0</v>
      </c>
      <c r="J13">
        <f>VALUE(_xlfn.TEXTBEFORE(evaluation_run_0__43[[#This Row],[objective_1]], "."))</f>
        <v>48</v>
      </c>
      <c r="K13">
        <f>VALUE(_xlfn.TEXTBEFORE(evaluation_run_0__43[[#This Row],[objective_4]], "."))</f>
        <v>-31</v>
      </c>
      <c r="L13">
        <f>VALUE(_xlfn.TEXTBEFORE(evaluation_run_0__43[[#This Row],[objective_5]], "."))</f>
        <v>-19</v>
      </c>
      <c r="M13">
        <f>VALUE(_xlfn.TEXTBEFORE(evaluation_run_0__43[[#This Row],[constraint]], "."))</f>
        <v>7</v>
      </c>
      <c r="P13" s="25">
        <f t="shared" si="19"/>
        <v>0</v>
      </c>
      <c r="Q13" s="25">
        <f t="shared" si="20"/>
        <v>8</v>
      </c>
      <c r="R13" s="25">
        <f t="shared" si="21"/>
        <v>-31</v>
      </c>
      <c r="S13" s="25">
        <f t="shared" si="8"/>
        <v>1</v>
      </c>
      <c r="T13" s="25">
        <f t="shared" si="22"/>
        <v>7</v>
      </c>
      <c r="V13" s="25">
        <f>evaluation_run_0__43[[#This Row],[elapsed_nanos]]/10^9</f>
        <v>0.20322100000000001</v>
      </c>
      <c r="W13" s="25">
        <f t="shared" ref="W13:X13" si="28">IF(P$34=0,0,P45/P$34)</f>
        <v>0</v>
      </c>
      <c r="X13" s="25">
        <f t="shared" si="28"/>
        <v>0.18181818181818182</v>
      </c>
      <c r="Y13" s="25">
        <f t="shared" si="4"/>
        <v>0.42105263157894735</v>
      </c>
      <c r="Z13" s="25">
        <f t="shared" si="5"/>
        <v>0.5</v>
      </c>
      <c r="AA13" s="25">
        <f t="shared" si="11"/>
        <v>0.77777777777777779</v>
      </c>
    </row>
    <row r="14" spans="1:27" x14ac:dyDescent="0.3">
      <c r="A14">
        <v>238473800</v>
      </c>
      <c r="B14" t="s">
        <v>6</v>
      </c>
      <c r="C14" t="s">
        <v>16</v>
      </c>
      <c r="D14" t="s">
        <v>25</v>
      </c>
      <c r="E14" t="s">
        <v>34</v>
      </c>
      <c r="F14" t="s">
        <v>22</v>
      </c>
      <c r="H14" s="25">
        <f>evaluation_run_0__43[[#This Row],[elapsed_nanos]]/10^9</f>
        <v>0.23847380000000001</v>
      </c>
      <c r="I14">
        <f>VALUE(_xlfn.TEXTBEFORE(evaluation_run_0__43[[#This Row],[objective_0]], "."))</f>
        <v>0</v>
      </c>
      <c r="J14">
        <f>VALUE(_xlfn.TEXTBEFORE(evaluation_run_0__43[[#This Row],[objective_1]], "."))</f>
        <v>24</v>
      </c>
      <c r="K14">
        <f>VALUE(_xlfn.TEXTBEFORE(evaluation_run_0__43[[#This Row],[objective_4]], "."))</f>
        <v>-16</v>
      </c>
      <c r="L14">
        <f>VALUE(_xlfn.TEXTBEFORE(evaluation_run_0__43[[#This Row],[objective_5]], "."))</f>
        <v>-22</v>
      </c>
      <c r="M14">
        <f>VALUE(_xlfn.TEXTBEFORE(evaluation_run_0__43[[#This Row],[constraint]], "."))</f>
        <v>10</v>
      </c>
      <c r="P14" s="25">
        <f t="shared" si="19"/>
        <v>0</v>
      </c>
      <c r="Q14" s="25">
        <f t="shared" si="20"/>
        <v>8</v>
      </c>
      <c r="R14" s="25">
        <f t="shared" si="21"/>
        <v>-31</v>
      </c>
      <c r="S14" s="25">
        <f t="shared" si="8"/>
        <v>0</v>
      </c>
      <c r="T14" s="25">
        <f t="shared" si="22"/>
        <v>7</v>
      </c>
      <c r="V14" s="25">
        <f>evaluation_run_0__43[[#This Row],[elapsed_nanos]]/10^9</f>
        <v>0.23847380000000001</v>
      </c>
      <c r="W14" s="25">
        <f t="shared" ref="W14:X14" si="29">IF(P$34=0,0,P46/P$34)</f>
        <v>0</v>
      </c>
      <c r="X14" s="25">
        <f t="shared" si="29"/>
        <v>0.18181818181818182</v>
      </c>
      <c r="Y14" s="25">
        <f t="shared" si="4"/>
        <v>0.42105263157894735</v>
      </c>
      <c r="Z14" s="25">
        <f t="shared" si="5"/>
        <v>0</v>
      </c>
      <c r="AA14" s="25">
        <f t="shared" si="11"/>
        <v>0.77777777777777779</v>
      </c>
    </row>
    <row r="15" spans="1:27" x14ac:dyDescent="0.3">
      <c r="A15">
        <v>420804499</v>
      </c>
      <c r="B15" t="s">
        <v>6</v>
      </c>
      <c r="C15" t="s">
        <v>243</v>
      </c>
      <c r="D15" t="s">
        <v>29</v>
      </c>
      <c r="E15" t="s">
        <v>13</v>
      </c>
      <c r="F15" t="s">
        <v>31</v>
      </c>
      <c r="H15" s="25">
        <f>evaluation_run_0__43[[#This Row],[elapsed_nanos]]/10^9</f>
        <v>0.420804499</v>
      </c>
      <c r="I15">
        <f>VALUE(_xlfn.TEXTBEFORE(evaluation_run_0__43[[#This Row],[objective_0]], "."))</f>
        <v>0</v>
      </c>
      <c r="J15">
        <f>VALUE(_xlfn.TEXTBEFORE(evaluation_run_0__43[[#This Row],[objective_1]], "."))</f>
        <v>72</v>
      </c>
      <c r="K15">
        <f>VALUE(_xlfn.TEXTBEFORE(evaluation_run_0__43[[#This Row],[objective_4]], "."))</f>
        <v>-26</v>
      </c>
      <c r="L15">
        <f>VALUE(_xlfn.TEXTBEFORE(evaluation_run_0__43[[#This Row],[objective_5]], "."))</f>
        <v>-19</v>
      </c>
      <c r="M15">
        <f>VALUE(_xlfn.TEXTBEFORE(evaluation_run_0__43[[#This Row],[constraint]], "."))</f>
        <v>6</v>
      </c>
      <c r="P15" s="25">
        <f t="shared" si="19"/>
        <v>0</v>
      </c>
      <c r="Q15" s="25">
        <f t="shared" si="20"/>
        <v>8</v>
      </c>
      <c r="R15" s="25">
        <f t="shared" si="21"/>
        <v>-31</v>
      </c>
      <c r="S15" s="25">
        <f t="shared" si="8"/>
        <v>0</v>
      </c>
      <c r="T15" s="25">
        <f t="shared" si="22"/>
        <v>6</v>
      </c>
      <c r="V15" s="25">
        <f>evaluation_run_0__43[[#This Row],[elapsed_nanos]]/10^9</f>
        <v>0.420804499</v>
      </c>
      <c r="W15" s="25">
        <f t="shared" ref="W15:X15" si="30">IF(P$34=0,0,P47/P$34)</f>
        <v>0</v>
      </c>
      <c r="X15" s="25">
        <f t="shared" si="30"/>
        <v>0.18181818181818182</v>
      </c>
      <c r="Y15" s="25">
        <f t="shared" si="4"/>
        <v>0.42105263157894735</v>
      </c>
      <c r="Z15" s="25">
        <f t="shared" si="5"/>
        <v>0</v>
      </c>
      <c r="AA15" s="25">
        <f t="shared" si="11"/>
        <v>0.66666666666666663</v>
      </c>
    </row>
    <row r="16" spans="1:27" x14ac:dyDescent="0.3">
      <c r="A16">
        <v>434526899</v>
      </c>
      <c r="B16" t="s">
        <v>6</v>
      </c>
      <c r="C16" t="s">
        <v>245</v>
      </c>
      <c r="D16" t="s">
        <v>37</v>
      </c>
      <c r="E16" t="s">
        <v>13</v>
      </c>
      <c r="F16" t="s">
        <v>31</v>
      </c>
      <c r="H16" s="25">
        <f>evaluation_run_0__43[[#This Row],[elapsed_nanos]]/10^9</f>
        <v>0.43452689900000002</v>
      </c>
      <c r="I16">
        <f>VALUE(_xlfn.TEXTBEFORE(evaluation_run_0__43[[#This Row],[objective_0]], "."))</f>
        <v>0</v>
      </c>
      <c r="J16">
        <f>VALUE(_xlfn.TEXTBEFORE(evaluation_run_0__43[[#This Row],[objective_1]], "."))</f>
        <v>60</v>
      </c>
      <c r="K16">
        <f>VALUE(_xlfn.TEXTBEFORE(evaluation_run_0__43[[#This Row],[objective_4]], "."))</f>
        <v>-35</v>
      </c>
      <c r="L16">
        <f>VALUE(_xlfn.TEXTBEFORE(evaluation_run_0__43[[#This Row],[objective_5]], "."))</f>
        <v>-19</v>
      </c>
      <c r="M16">
        <f>VALUE(_xlfn.TEXTBEFORE(evaluation_run_0__43[[#This Row],[constraint]], "."))</f>
        <v>6</v>
      </c>
      <c r="P16" s="25">
        <f t="shared" si="19"/>
        <v>0</v>
      </c>
      <c r="Q16" s="25">
        <f t="shared" si="20"/>
        <v>8</v>
      </c>
      <c r="R16" s="25">
        <f t="shared" si="21"/>
        <v>-35</v>
      </c>
      <c r="S16" s="25">
        <f>MIN(L16+22,S15)</f>
        <v>0</v>
      </c>
      <c r="T16" s="25">
        <f t="shared" si="22"/>
        <v>6</v>
      </c>
      <c r="V16" s="25">
        <f>evaluation_run_0__43[[#This Row],[elapsed_nanos]]/10^9</f>
        <v>0.43452689900000002</v>
      </c>
      <c r="W16" s="25">
        <f t="shared" ref="W16:X16" si="31">IF(P$34=0,0,P48/P$34)</f>
        <v>0</v>
      </c>
      <c r="X16" s="25">
        <f t="shared" si="31"/>
        <v>0.18181818181818182</v>
      </c>
      <c r="Y16" s="25">
        <f t="shared" si="4"/>
        <v>0.31578947368421051</v>
      </c>
      <c r="Z16" s="25">
        <f t="shared" si="5"/>
        <v>0</v>
      </c>
      <c r="AA16" s="25">
        <f t="shared" si="11"/>
        <v>0.66666666666666663</v>
      </c>
    </row>
    <row r="17" spans="1:27" x14ac:dyDescent="0.3">
      <c r="A17">
        <v>636683099</v>
      </c>
      <c r="B17" t="s">
        <v>6</v>
      </c>
      <c r="C17" t="s">
        <v>32</v>
      </c>
      <c r="D17" t="s">
        <v>246</v>
      </c>
      <c r="E17" t="s">
        <v>13</v>
      </c>
      <c r="F17" t="s">
        <v>33</v>
      </c>
      <c r="H17" s="25">
        <f>evaluation_run_0__43[[#This Row],[elapsed_nanos]]/10^9</f>
        <v>0.63668309899999997</v>
      </c>
      <c r="I17">
        <f>VALUE(_xlfn.TEXTBEFORE(evaluation_run_0__43[[#This Row],[objective_0]], "."))</f>
        <v>0</v>
      </c>
      <c r="J17">
        <f>VALUE(_xlfn.TEXTBEFORE(evaluation_run_0__43[[#This Row],[objective_1]], "."))</f>
        <v>86</v>
      </c>
      <c r="K17">
        <f>VALUE(_xlfn.TEXTBEFORE(evaluation_run_0__43[[#This Row],[objective_4]], "."))</f>
        <v>-30</v>
      </c>
      <c r="L17">
        <f>VALUE(_xlfn.TEXTBEFORE(evaluation_run_0__43[[#This Row],[objective_5]], "."))</f>
        <v>-19</v>
      </c>
      <c r="M17">
        <f>VALUE(_xlfn.TEXTBEFORE(evaluation_run_0__43[[#This Row],[constraint]], "."))</f>
        <v>5</v>
      </c>
      <c r="P17" s="25">
        <f t="shared" si="19"/>
        <v>0</v>
      </c>
      <c r="Q17" s="25">
        <f t="shared" si="20"/>
        <v>8</v>
      </c>
      <c r="R17" s="25">
        <f t="shared" si="21"/>
        <v>-35</v>
      </c>
      <c r="S17" s="25">
        <f t="shared" si="8"/>
        <v>0</v>
      </c>
      <c r="T17" s="25">
        <f t="shared" si="22"/>
        <v>5</v>
      </c>
      <c r="V17" s="25">
        <f>evaluation_run_0__43[[#This Row],[elapsed_nanos]]/10^9</f>
        <v>0.63668309899999997</v>
      </c>
      <c r="W17" s="25">
        <f t="shared" ref="W17:X17" si="32">IF(P$34=0,0,P49/P$34)</f>
        <v>0</v>
      </c>
      <c r="X17" s="25">
        <f t="shared" si="32"/>
        <v>0.18181818181818182</v>
      </c>
      <c r="Y17" s="25">
        <f t="shared" si="4"/>
        <v>0.31578947368421051</v>
      </c>
      <c r="Z17" s="25">
        <f t="shared" si="5"/>
        <v>0</v>
      </c>
      <c r="AA17" s="25">
        <f t="shared" si="11"/>
        <v>0.55555555555555558</v>
      </c>
    </row>
    <row r="18" spans="1:27" x14ac:dyDescent="0.3">
      <c r="A18">
        <v>870689900</v>
      </c>
      <c r="B18" t="s">
        <v>6</v>
      </c>
      <c r="C18" t="s">
        <v>247</v>
      </c>
      <c r="D18" t="s">
        <v>248</v>
      </c>
      <c r="E18" t="s">
        <v>13</v>
      </c>
      <c r="F18" t="s">
        <v>23</v>
      </c>
      <c r="H18" s="25">
        <f>evaluation_run_0__43[[#This Row],[elapsed_nanos]]/10^9</f>
        <v>0.87068990000000002</v>
      </c>
      <c r="I18">
        <f>VALUE(_xlfn.TEXTBEFORE(evaluation_run_0__43[[#This Row],[objective_0]], "."))</f>
        <v>0</v>
      </c>
      <c r="J18">
        <f>VALUE(_xlfn.TEXTBEFORE(evaluation_run_0__43[[#This Row],[objective_1]], "."))</f>
        <v>110</v>
      </c>
      <c r="K18">
        <f>VALUE(_xlfn.TEXTBEFORE(evaluation_run_0__43[[#This Row],[objective_4]], "."))</f>
        <v>-33</v>
      </c>
      <c r="L18">
        <f>VALUE(_xlfn.TEXTBEFORE(evaluation_run_0__43[[#This Row],[objective_5]], "."))</f>
        <v>-19</v>
      </c>
      <c r="M18">
        <f>VALUE(_xlfn.TEXTBEFORE(evaluation_run_0__43[[#This Row],[constraint]], "."))</f>
        <v>4</v>
      </c>
      <c r="P18" s="25">
        <f t="shared" si="19"/>
        <v>0</v>
      </c>
      <c r="Q18" s="25">
        <f t="shared" si="20"/>
        <v>8</v>
      </c>
      <c r="R18" s="25">
        <f t="shared" si="21"/>
        <v>-35</v>
      </c>
      <c r="S18" s="25">
        <f t="shared" si="8"/>
        <v>0</v>
      </c>
      <c r="T18" s="25">
        <f t="shared" si="22"/>
        <v>4</v>
      </c>
      <c r="V18" s="25">
        <f>evaluation_run_0__43[[#This Row],[elapsed_nanos]]/10^9</f>
        <v>0.87068990000000002</v>
      </c>
      <c r="W18" s="25">
        <f t="shared" ref="W18:X18" si="33">IF(P$34=0,0,P50/P$34)</f>
        <v>0</v>
      </c>
      <c r="X18" s="25">
        <f t="shared" si="33"/>
        <v>0.18181818181818182</v>
      </c>
      <c r="Y18" s="25">
        <f t="shared" si="4"/>
        <v>0.31578947368421051</v>
      </c>
      <c r="Z18" s="25">
        <f t="shared" si="5"/>
        <v>0</v>
      </c>
      <c r="AA18" s="25">
        <f t="shared" si="11"/>
        <v>0.44444444444444442</v>
      </c>
    </row>
    <row r="19" spans="1:27" x14ac:dyDescent="0.3">
      <c r="A19">
        <v>917298100</v>
      </c>
      <c r="B19" t="s">
        <v>6</v>
      </c>
      <c r="C19" t="s">
        <v>35</v>
      </c>
      <c r="D19" t="s">
        <v>36</v>
      </c>
      <c r="E19" t="s">
        <v>13</v>
      </c>
      <c r="F19" t="s">
        <v>33</v>
      </c>
      <c r="H19" s="25">
        <f>evaluation_run_0__43[[#This Row],[elapsed_nanos]]/10^9</f>
        <v>0.91729810000000001</v>
      </c>
      <c r="I19">
        <f>VALUE(_xlfn.TEXTBEFORE(evaluation_run_0__43[[#This Row],[objective_0]], "."))</f>
        <v>0</v>
      </c>
      <c r="J19">
        <f>VALUE(_xlfn.TEXTBEFORE(evaluation_run_0__43[[#This Row],[objective_1]], "."))</f>
        <v>76</v>
      </c>
      <c r="K19">
        <f>VALUE(_xlfn.TEXTBEFORE(evaluation_run_0__43[[#This Row],[objective_4]], "."))</f>
        <v>-39</v>
      </c>
      <c r="L19">
        <f>VALUE(_xlfn.TEXTBEFORE(evaluation_run_0__43[[#This Row],[objective_5]], "."))</f>
        <v>-19</v>
      </c>
      <c r="M19">
        <f>VALUE(_xlfn.TEXTBEFORE(evaluation_run_0__43[[#This Row],[constraint]], "."))</f>
        <v>5</v>
      </c>
      <c r="P19" s="25">
        <f t="shared" si="19"/>
        <v>0</v>
      </c>
      <c r="Q19" s="25">
        <f t="shared" si="20"/>
        <v>8</v>
      </c>
      <c r="R19" s="25">
        <f t="shared" si="21"/>
        <v>-39</v>
      </c>
      <c r="S19" s="25">
        <f t="shared" si="8"/>
        <v>0</v>
      </c>
      <c r="T19" s="25">
        <f t="shared" si="22"/>
        <v>4</v>
      </c>
      <c r="V19" s="25">
        <f>evaluation_run_0__43[[#This Row],[elapsed_nanos]]/10^9</f>
        <v>0.91729810000000001</v>
      </c>
      <c r="W19" s="25">
        <f t="shared" ref="W19:X19" si="34">IF(P$34=0,0,P51/P$34)</f>
        <v>0</v>
      </c>
      <c r="X19" s="25">
        <f t="shared" si="34"/>
        <v>0.18181818181818182</v>
      </c>
      <c r="Y19" s="25">
        <f t="shared" si="4"/>
        <v>0.21052631578947367</v>
      </c>
      <c r="Z19" s="25">
        <f t="shared" ref="Z19:Z30" si="35">IF(S$34=0,0,S51/S$34)</f>
        <v>0</v>
      </c>
      <c r="AA19" s="25">
        <f t="shared" si="11"/>
        <v>0.44444444444444442</v>
      </c>
    </row>
    <row r="20" spans="1:27" x14ac:dyDescent="0.3">
      <c r="A20">
        <v>919822200</v>
      </c>
      <c r="B20" t="s">
        <v>6</v>
      </c>
      <c r="C20" t="s">
        <v>249</v>
      </c>
      <c r="D20" t="s">
        <v>250</v>
      </c>
      <c r="E20" t="s">
        <v>13</v>
      </c>
      <c r="F20" t="s">
        <v>33</v>
      </c>
      <c r="H20" s="25">
        <f>evaluation_run_0__43[[#This Row],[elapsed_nanos]]/10^9</f>
        <v>0.91982220000000003</v>
      </c>
      <c r="I20">
        <f>VALUE(_xlfn.TEXTBEFORE(evaluation_run_0__43[[#This Row],[objective_0]], "."))</f>
        <v>0</v>
      </c>
      <c r="J20">
        <f>VALUE(_xlfn.TEXTBEFORE(evaluation_run_0__43[[#This Row],[objective_1]], "."))</f>
        <v>70</v>
      </c>
      <c r="K20">
        <f>VALUE(_xlfn.TEXTBEFORE(evaluation_run_0__43[[#This Row],[objective_4]], "."))</f>
        <v>-42</v>
      </c>
      <c r="L20">
        <f>VALUE(_xlfn.TEXTBEFORE(evaluation_run_0__43[[#This Row],[objective_5]], "."))</f>
        <v>-19</v>
      </c>
      <c r="M20">
        <f>VALUE(_xlfn.TEXTBEFORE(evaluation_run_0__43[[#This Row],[constraint]], "."))</f>
        <v>5</v>
      </c>
      <c r="P20" s="25">
        <f t="shared" si="19"/>
        <v>0</v>
      </c>
      <c r="Q20" s="25">
        <f t="shared" si="20"/>
        <v>8</v>
      </c>
      <c r="R20" s="25">
        <f t="shared" si="21"/>
        <v>-42</v>
      </c>
      <c r="S20" s="25">
        <f t="shared" si="8"/>
        <v>0</v>
      </c>
      <c r="T20" s="25">
        <f t="shared" si="22"/>
        <v>4</v>
      </c>
      <c r="V20" s="25">
        <f>evaluation_run_0__43[[#This Row],[elapsed_nanos]]/10^9</f>
        <v>0.91982220000000003</v>
      </c>
      <c r="W20" s="25">
        <f t="shared" ref="W20:X20" si="36">IF(P$34=0,0,P52/P$34)</f>
        <v>0</v>
      </c>
      <c r="X20" s="25">
        <f t="shared" si="36"/>
        <v>0.18181818181818182</v>
      </c>
      <c r="Y20" s="25">
        <f t="shared" si="4"/>
        <v>0.13157894736842105</v>
      </c>
      <c r="Z20" s="25">
        <f t="shared" si="35"/>
        <v>0</v>
      </c>
      <c r="AA20" s="25">
        <f t="shared" si="11"/>
        <v>0.44444444444444442</v>
      </c>
    </row>
    <row r="21" spans="1:27" x14ac:dyDescent="0.3">
      <c r="A21">
        <v>1092877500</v>
      </c>
      <c r="B21" t="s">
        <v>6</v>
      </c>
      <c r="C21" t="s">
        <v>251</v>
      </c>
      <c r="D21" t="s">
        <v>30</v>
      </c>
      <c r="E21" t="s">
        <v>13</v>
      </c>
      <c r="F21" t="s">
        <v>38</v>
      </c>
      <c r="H21" s="25">
        <f>evaluation_run_0__43[[#This Row],[elapsed_nanos]]/10^9</f>
        <v>1.0928774999999999</v>
      </c>
      <c r="I21">
        <f>VALUE(_xlfn.TEXTBEFORE(evaluation_run_0__43[[#This Row],[objective_0]], "."))</f>
        <v>0</v>
      </c>
      <c r="J21">
        <f>VALUE(_xlfn.TEXTBEFORE(evaluation_run_0__43[[#This Row],[objective_1]], "."))</f>
        <v>134</v>
      </c>
      <c r="K21">
        <f>VALUE(_xlfn.TEXTBEFORE(evaluation_run_0__43[[#This Row],[objective_4]], "."))</f>
        <v>-34</v>
      </c>
      <c r="L21">
        <f>VALUE(_xlfn.TEXTBEFORE(evaluation_run_0__43[[#This Row],[objective_5]], "."))</f>
        <v>-19</v>
      </c>
      <c r="M21">
        <f>VALUE(_xlfn.TEXTBEFORE(evaluation_run_0__43[[#This Row],[constraint]], "."))</f>
        <v>3</v>
      </c>
      <c r="P21" s="25">
        <f t="shared" si="19"/>
        <v>0</v>
      </c>
      <c r="Q21" s="25">
        <f t="shared" si="20"/>
        <v>8</v>
      </c>
      <c r="R21" s="25">
        <f t="shared" si="21"/>
        <v>-42</v>
      </c>
      <c r="S21" s="25">
        <f t="shared" si="8"/>
        <v>0</v>
      </c>
      <c r="T21" s="25">
        <f t="shared" si="22"/>
        <v>3</v>
      </c>
      <c r="V21" s="25">
        <f>evaluation_run_0__43[[#This Row],[elapsed_nanos]]/10^9</f>
        <v>1.0928774999999999</v>
      </c>
      <c r="W21" s="25">
        <f t="shared" ref="W21:X21" si="37">IF(P$34=0,0,P53/P$34)</f>
        <v>0</v>
      </c>
      <c r="X21" s="25">
        <f t="shared" si="37"/>
        <v>0.18181818181818182</v>
      </c>
      <c r="Y21" s="25">
        <f t="shared" si="4"/>
        <v>0.13157894736842105</v>
      </c>
      <c r="Z21" s="25">
        <f t="shared" si="35"/>
        <v>0</v>
      </c>
      <c r="AA21" s="25">
        <f t="shared" si="11"/>
        <v>0.33333333333333331</v>
      </c>
    </row>
    <row r="22" spans="1:27" x14ac:dyDescent="0.3">
      <c r="A22">
        <v>1121648999</v>
      </c>
      <c r="B22" t="s">
        <v>6</v>
      </c>
      <c r="C22" t="s">
        <v>252</v>
      </c>
      <c r="D22" t="s">
        <v>253</v>
      </c>
      <c r="E22" t="s">
        <v>13</v>
      </c>
      <c r="F22" t="s">
        <v>38</v>
      </c>
      <c r="H22" s="25">
        <f>evaluation_run_0__43[[#This Row],[elapsed_nanos]]/10^9</f>
        <v>1.121648999</v>
      </c>
      <c r="I22">
        <f>VALUE(_xlfn.TEXTBEFORE(evaluation_run_0__43[[#This Row],[objective_0]], "."))</f>
        <v>0</v>
      </c>
      <c r="J22">
        <f>VALUE(_xlfn.TEXTBEFORE(evaluation_run_0__43[[#This Row],[objective_1]], "."))</f>
        <v>118</v>
      </c>
      <c r="K22">
        <f>VALUE(_xlfn.TEXTBEFORE(evaluation_run_0__43[[#This Row],[objective_4]], "."))</f>
        <v>-43</v>
      </c>
      <c r="L22">
        <f>VALUE(_xlfn.TEXTBEFORE(evaluation_run_0__43[[#This Row],[objective_5]], "."))</f>
        <v>-19</v>
      </c>
      <c r="M22">
        <f>VALUE(_xlfn.TEXTBEFORE(evaluation_run_0__43[[#This Row],[constraint]], "."))</f>
        <v>3</v>
      </c>
      <c r="P22" s="25">
        <f t="shared" si="19"/>
        <v>0</v>
      </c>
      <c r="Q22" s="25">
        <f t="shared" si="20"/>
        <v>8</v>
      </c>
      <c r="R22" s="25">
        <f t="shared" si="21"/>
        <v>-43</v>
      </c>
      <c r="S22" s="25">
        <f t="shared" si="8"/>
        <v>0</v>
      </c>
      <c r="T22" s="25">
        <f t="shared" si="22"/>
        <v>3</v>
      </c>
      <c r="V22" s="25">
        <f>evaluation_run_0__43[[#This Row],[elapsed_nanos]]/10^9</f>
        <v>1.121648999</v>
      </c>
      <c r="W22" s="25">
        <f t="shared" ref="W22:X22" si="38">IF(P$34=0,0,P54/P$34)</f>
        <v>0</v>
      </c>
      <c r="X22" s="25">
        <f t="shared" si="38"/>
        <v>0.18181818181818182</v>
      </c>
      <c r="Y22" s="25">
        <f t="shared" si="4"/>
        <v>0.10526315789473684</v>
      </c>
      <c r="Z22" s="25">
        <f t="shared" si="35"/>
        <v>0</v>
      </c>
      <c r="AA22" s="25">
        <f t="shared" si="11"/>
        <v>0.33333333333333331</v>
      </c>
    </row>
    <row r="23" spans="1:27" x14ac:dyDescent="0.3">
      <c r="A23">
        <v>1359753200</v>
      </c>
      <c r="B23" t="s">
        <v>6</v>
      </c>
      <c r="C23" t="s">
        <v>254</v>
      </c>
      <c r="D23" t="s">
        <v>39</v>
      </c>
      <c r="E23" t="s">
        <v>13</v>
      </c>
      <c r="F23" t="s">
        <v>15</v>
      </c>
      <c r="H23" s="25">
        <f>evaluation_run_0__43[[#This Row],[elapsed_nanos]]/10^9</f>
        <v>1.3597532000000001</v>
      </c>
      <c r="I23">
        <f>VALUE(_xlfn.TEXTBEFORE(evaluation_run_0__43[[#This Row],[objective_0]], "."))</f>
        <v>0</v>
      </c>
      <c r="J23">
        <f>VALUE(_xlfn.TEXTBEFORE(evaluation_run_0__43[[#This Row],[objective_1]], "."))</f>
        <v>150</v>
      </c>
      <c r="K23">
        <f>VALUE(_xlfn.TEXTBEFORE(evaluation_run_0__43[[#This Row],[objective_4]], "."))</f>
        <v>-41</v>
      </c>
      <c r="L23">
        <f>VALUE(_xlfn.TEXTBEFORE(evaluation_run_0__43[[#This Row],[objective_5]], "."))</f>
        <v>-19</v>
      </c>
      <c r="M23">
        <f>VALUE(_xlfn.TEXTBEFORE(evaluation_run_0__43[[#This Row],[constraint]], "."))</f>
        <v>2</v>
      </c>
      <c r="P23" s="25">
        <f t="shared" si="19"/>
        <v>0</v>
      </c>
      <c r="Q23" s="25">
        <f t="shared" si="20"/>
        <v>8</v>
      </c>
      <c r="R23" s="25">
        <f t="shared" si="21"/>
        <v>-43</v>
      </c>
      <c r="S23" s="25">
        <f t="shared" si="8"/>
        <v>0</v>
      </c>
      <c r="T23" s="25">
        <f t="shared" si="22"/>
        <v>2</v>
      </c>
      <c r="V23" s="25">
        <f>evaluation_run_0__43[[#This Row],[elapsed_nanos]]/10^9</f>
        <v>1.3597532000000001</v>
      </c>
      <c r="W23" s="25">
        <f t="shared" ref="W23:X23" si="39">IF(P$34=0,0,P55/P$34)</f>
        <v>0</v>
      </c>
      <c r="X23" s="25">
        <f t="shared" si="39"/>
        <v>0.18181818181818182</v>
      </c>
      <c r="Y23" s="25">
        <f t="shared" si="4"/>
        <v>0.10526315789473684</v>
      </c>
      <c r="Z23" s="25">
        <f t="shared" si="35"/>
        <v>0</v>
      </c>
      <c r="AA23" s="25">
        <f t="shared" si="11"/>
        <v>0.22222222222222221</v>
      </c>
    </row>
    <row r="24" spans="1:27" x14ac:dyDescent="0.3">
      <c r="A24">
        <v>1386690100</v>
      </c>
      <c r="B24" t="s">
        <v>6</v>
      </c>
      <c r="C24" t="s">
        <v>40</v>
      </c>
      <c r="D24" t="s">
        <v>41</v>
      </c>
      <c r="E24" t="s">
        <v>13</v>
      </c>
      <c r="F24" t="s">
        <v>15</v>
      </c>
      <c r="H24" s="25">
        <f>evaluation_run_0__43[[#This Row],[elapsed_nanos]]/10^9</f>
        <v>1.3866901</v>
      </c>
      <c r="I24">
        <f>VALUE(_xlfn.TEXTBEFORE(evaluation_run_0__43[[#This Row],[objective_0]], "."))</f>
        <v>0</v>
      </c>
      <c r="J24">
        <f>VALUE(_xlfn.TEXTBEFORE(evaluation_run_0__43[[#This Row],[objective_1]], "."))</f>
        <v>142</v>
      </c>
      <c r="K24">
        <f>VALUE(_xlfn.TEXTBEFORE(evaluation_run_0__43[[#This Row],[objective_4]], "."))</f>
        <v>-45</v>
      </c>
      <c r="L24">
        <f>VALUE(_xlfn.TEXTBEFORE(evaluation_run_0__43[[#This Row],[objective_5]], "."))</f>
        <v>-19</v>
      </c>
      <c r="M24">
        <f>VALUE(_xlfn.TEXTBEFORE(evaluation_run_0__43[[#This Row],[constraint]], "."))</f>
        <v>2</v>
      </c>
      <c r="P24" s="25">
        <f t="shared" si="19"/>
        <v>0</v>
      </c>
      <c r="Q24" s="25">
        <f t="shared" si="20"/>
        <v>8</v>
      </c>
      <c r="R24" s="25">
        <f t="shared" si="21"/>
        <v>-45</v>
      </c>
      <c r="S24" s="25">
        <f t="shared" si="8"/>
        <v>0</v>
      </c>
      <c r="T24" s="25">
        <f t="shared" si="22"/>
        <v>2</v>
      </c>
      <c r="V24" s="25">
        <f>evaluation_run_0__43[[#This Row],[elapsed_nanos]]/10^9</f>
        <v>1.3866901</v>
      </c>
      <c r="W24" s="25">
        <f t="shared" ref="W24:X24" si="40">IF(P$34=0,0,P56/P$34)</f>
        <v>0</v>
      </c>
      <c r="X24" s="25">
        <f t="shared" si="40"/>
        <v>0.18181818181818182</v>
      </c>
      <c r="Y24" s="25">
        <f t="shared" si="4"/>
        <v>5.2631578947368418E-2</v>
      </c>
      <c r="Z24" s="25">
        <f t="shared" si="35"/>
        <v>0</v>
      </c>
      <c r="AA24" s="25">
        <f t="shared" si="11"/>
        <v>0.22222222222222221</v>
      </c>
    </row>
    <row r="25" spans="1:27" x14ac:dyDescent="0.3">
      <c r="A25">
        <v>1638646100</v>
      </c>
      <c r="B25" t="s">
        <v>6</v>
      </c>
      <c r="C25" t="s">
        <v>42</v>
      </c>
      <c r="D25" t="s">
        <v>43</v>
      </c>
      <c r="E25" t="s">
        <v>13</v>
      </c>
      <c r="F25" t="s">
        <v>44</v>
      </c>
      <c r="H25" s="25">
        <f>evaluation_run_0__43[[#This Row],[elapsed_nanos]]/10^9</f>
        <v>1.6386461000000001</v>
      </c>
      <c r="I25">
        <f>VALUE(_xlfn.TEXTBEFORE(evaluation_run_0__43[[#This Row],[objective_0]], "."))</f>
        <v>0</v>
      </c>
      <c r="J25">
        <f>VALUE(_xlfn.TEXTBEFORE(evaluation_run_0__43[[#This Row],[objective_1]], "."))</f>
        <v>170</v>
      </c>
      <c r="K25">
        <f>VALUE(_xlfn.TEXTBEFORE(evaluation_run_0__43[[#This Row],[objective_4]], "."))</f>
        <v>-46</v>
      </c>
      <c r="L25">
        <f>VALUE(_xlfn.TEXTBEFORE(evaluation_run_0__43[[#This Row],[objective_5]], "."))</f>
        <v>-19</v>
      </c>
      <c r="M25">
        <f>VALUE(_xlfn.TEXTBEFORE(evaluation_run_0__43[[#This Row],[constraint]], "."))</f>
        <v>1</v>
      </c>
      <c r="P25" s="25">
        <f t="shared" si="19"/>
        <v>0</v>
      </c>
      <c r="Q25" s="25">
        <f t="shared" si="20"/>
        <v>8</v>
      </c>
      <c r="R25" s="25">
        <f t="shared" si="21"/>
        <v>-46</v>
      </c>
      <c r="S25" s="25">
        <f t="shared" si="8"/>
        <v>0</v>
      </c>
      <c r="T25" s="25">
        <f t="shared" si="22"/>
        <v>1</v>
      </c>
      <c r="V25" s="25">
        <f>evaluation_run_0__43[[#This Row],[elapsed_nanos]]/10^9</f>
        <v>1.6386461000000001</v>
      </c>
      <c r="W25" s="25">
        <f t="shared" ref="W25:X25" si="41">IF(P$34=0,0,P57/P$34)</f>
        <v>0</v>
      </c>
      <c r="X25" s="25">
        <f t="shared" si="41"/>
        <v>0.18181818181818182</v>
      </c>
      <c r="Y25" s="25">
        <f t="shared" si="4"/>
        <v>2.6315789473684209E-2</v>
      </c>
      <c r="Z25" s="25">
        <f t="shared" si="35"/>
        <v>0</v>
      </c>
      <c r="AA25" s="25">
        <f t="shared" si="11"/>
        <v>0.1111111111111111</v>
      </c>
    </row>
    <row r="26" spans="1:27" x14ac:dyDescent="0.3">
      <c r="A26">
        <v>2102746200</v>
      </c>
      <c r="B26" t="s">
        <v>23</v>
      </c>
      <c r="C26" t="s">
        <v>255</v>
      </c>
      <c r="D26" t="s">
        <v>253</v>
      </c>
      <c r="E26" t="s">
        <v>9</v>
      </c>
      <c r="F26" t="s">
        <v>6</v>
      </c>
      <c r="H26" s="25">
        <f>evaluation_run_0__43[[#This Row],[elapsed_nanos]]/10^9</f>
        <v>2.1027461999999999</v>
      </c>
      <c r="I26">
        <f>VALUE(_xlfn.TEXTBEFORE(evaluation_run_0__43[[#This Row],[objective_0]], "."))</f>
        <v>4</v>
      </c>
      <c r="J26">
        <f>VALUE(_xlfn.TEXTBEFORE(evaluation_run_0__43[[#This Row],[objective_1]], "."))</f>
        <v>148</v>
      </c>
      <c r="K26">
        <f>VALUE(_xlfn.TEXTBEFORE(evaluation_run_0__43[[#This Row],[objective_4]], "."))</f>
        <v>-43</v>
      </c>
      <c r="L26">
        <f>VALUE(_xlfn.TEXTBEFORE(evaluation_run_0__43[[#This Row],[objective_5]], "."))</f>
        <v>-20</v>
      </c>
      <c r="M26">
        <f>VALUE(_xlfn.TEXTBEFORE(evaluation_run_0__43[[#This Row],[constraint]], "."))</f>
        <v>0</v>
      </c>
      <c r="P26" s="25">
        <f t="shared" si="19"/>
        <v>0</v>
      </c>
      <c r="Q26" s="25">
        <f t="shared" si="20"/>
        <v>8</v>
      </c>
      <c r="R26" s="25">
        <f t="shared" si="21"/>
        <v>-46</v>
      </c>
      <c r="S26" s="25">
        <f t="shared" si="8"/>
        <v>0</v>
      </c>
      <c r="T26" s="25">
        <f t="shared" si="22"/>
        <v>0</v>
      </c>
      <c r="V26" s="25">
        <f>evaluation_run_0__43[[#This Row],[elapsed_nanos]]/10^9</f>
        <v>2.1027461999999999</v>
      </c>
      <c r="W26" s="25">
        <f t="shared" ref="W26:X26" si="42">IF(P$34=0,0,P58/P$34)</f>
        <v>0</v>
      </c>
      <c r="X26" s="25">
        <f t="shared" si="42"/>
        <v>0.18181818181818182</v>
      </c>
      <c r="Y26" s="25">
        <f t="shared" si="4"/>
        <v>2.6315789473684209E-2</v>
      </c>
      <c r="Z26" s="25">
        <f t="shared" si="35"/>
        <v>0</v>
      </c>
      <c r="AA26" s="25">
        <f t="shared" si="11"/>
        <v>0</v>
      </c>
    </row>
    <row r="27" spans="1:27" x14ac:dyDescent="0.3">
      <c r="A27">
        <v>2414565800</v>
      </c>
      <c r="B27" t="s">
        <v>6</v>
      </c>
      <c r="C27" t="s">
        <v>45</v>
      </c>
      <c r="D27" t="s">
        <v>46</v>
      </c>
      <c r="E27" t="s">
        <v>13</v>
      </c>
      <c r="F27" t="s">
        <v>6</v>
      </c>
      <c r="H27" s="25">
        <f>evaluation_run_0__43[[#This Row],[elapsed_nanos]]/10^9</f>
        <v>2.4145658000000001</v>
      </c>
      <c r="I27">
        <f>VALUE(_xlfn.TEXTBEFORE(evaluation_run_0__43[[#This Row],[objective_0]], "."))</f>
        <v>0</v>
      </c>
      <c r="J27">
        <f>VALUE(_xlfn.TEXTBEFORE(evaluation_run_0__43[[#This Row],[objective_1]], "."))</f>
        <v>200</v>
      </c>
      <c r="K27">
        <f>VALUE(_xlfn.TEXTBEFORE(evaluation_run_0__43[[#This Row],[objective_4]], "."))</f>
        <v>-47</v>
      </c>
      <c r="L27">
        <f>VALUE(_xlfn.TEXTBEFORE(evaluation_run_0__43[[#This Row],[objective_5]], "."))</f>
        <v>-19</v>
      </c>
      <c r="M27">
        <f>VALUE(_xlfn.TEXTBEFORE(evaluation_run_0__43[[#This Row],[constraint]], "."))</f>
        <v>0</v>
      </c>
      <c r="P27" s="25">
        <f t="shared" si="19"/>
        <v>0</v>
      </c>
      <c r="Q27" s="25">
        <f t="shared" si="20"/>
        <v>8</v>
      </c>
      <c r="R27" s="25">
        <f t="shared" si="21"/>
        <v>-47</v>
      </c>
      <c r="S27" s="25">
        <f t="shared" si="8"/>
        <v>0</v>
      </c>
      <c r="T27" s="25">
        <f t="shared" si="22"/>
        <v>0</v>
      </c>
      <c r="V27" s="25">
        <f>evaluation_run_0__43[[#This Row],[elapsed_nanos]]/10^9</f>
        <v>2.4145658000000001</v>
      </c>
      <c r="W27" s="25">
        <f t="shared" ref="W27:X27" si="43">IF(P$34=0,0,P59/P$34)</f>
        <v>0</v>
      </c>
      <c r="X27" s="25">
        <f t="shared" si="43"/>
        <v>0.18181818181818182</v>
      </c>
      <c r="Y27" s="25">
        <f t="shared" si="4"/>
        <v>0</v>
      </c>
      <c r="Z27" s="25">
        <f t="shared" si="35"/>
        <v>0</v>
      </c>
      <c r="AA27" s="25">
        <f t="shared" si="11"/>
        <v>0</v>
      </c>
    </row>
    <row r="28" spans="1:27" x14ac:dyDescent="0.3">
      <c r="A28">
        <v>9128339900</v>
      </c>
      <c r="B28" t="s">
        <v>23</v>
      </c>
      <c r="C28" t="s">
        <v>31</v>
      </c>
      <c r="D28" t="s">
        <v>17</v>
      </c>
      <c r="E28" t="s">
        <v>21</v>
      </c>
      <c r="F28" t="s">
        <v>10</v>
      </c>
      <c r="H28" s="25">
        <f>evaluation_run_0__43[[#This Row],[elapsed_nanos]]/10^9</f>
        <v>9.1283399000000003</v>
      </c>
      <c r="I28">
        <f>VALUE(_xlfn.TEXTBEFORE(evaluation_run_0__43[[#This Row],[objective_0]], "."))</f>
        <v>4</v>
      </c>
      <c r="J28">
        <f>VALUE(_xlfn.TEXTBEFORE(evaluation_run_0__43[[#This Row],[objective_1]], "."))</f>
        <v>6</v>
      </c>
      <c r="K28">
        <f>VALUE(_xlfn.TEXTBEFORE(evaluation_run_0__43[[#This Row],[objective_4]], "."))</f>
        <v>-6</v>
      </c>
      <c r="L28">
        <f>VALUE(_xlfn.TEXTBEFORE(evaluation_run_0__43[[#This Row],[objective_5]], "."))</f>
        <v>-21</v>
      </c>
      <c r="M28">
        <f>VALUE(_xlfn.TEXTBEFORE(evaluation_run_0__43[[#This Row],[constraint]], "."))</f>
        <v>9</v>
      </c>
      <c r="P28" s="25">
        <f t="shared" si="19"/>
        <v>0</v>
      </c>
      <c r="Q28" s="25">
        <f t="shared" si="20"/>
        <v>6</v>
      </c>
      <c r="R28" s="25">
        <f t="shared" si="21"/>
        <v>-47</v>
      </c>
      <c r="S28" s="25">
        <f t="shared" si="8"/>
        <v>0</v>
      </c>
      <c r="T28" s="25">
        <f t="shared" si="22"/>
        <v>0</v>
      </c>
      <c r="V28" s="25">
        <f>evaluation_run_0__43[[#This Row],[elapsed_nanos]]/10^9</f>
        <v>9.1283399000000003</v>
      </c>
      <c r="W28" s="25">
        <f t="shared" ref="W28:X28" si="44">IF(P$34=0,0,P60/P$34)</f>
        <v>0</v>
      </c>
      <c r="X28" s="25">
        <f t="shared" si="44"/>
        <v>0.13636363636363635</v>
      </c>
      <c r="Y28" s="25">
        <f t="shared" si="4"/>
        <v>0</v>
      </c>
      <c r="Z28" s="25">
        <f t="shared" si="35"/>
        <v>0</v>
      </c>
      <c r="AA28" s="25">
        <f t="shared" si="11"/>
        <v>0</v>
      </c>
    </row>
    <row r="29" spans="1:27" x14ac:dyDescent="0.3">
      <c r="A29">
        <v>21286973600</v>
      </c>
      <c r="B29" t="s">
        <v>256</v>
      </c>
      <c r="C29" t="s">
        <v>23</v>
      </c>
      <c r="D29" t="s">
        <v>12</v>
      </c>
      <c r="E29" t="s">
        <v>34</v>
      </c>
      <c r="F29" t="s">
        <v>14</v>
      </c>
      <c r="H29" s="25">
        <f>evaluation_run_0__43[[#This Row],[elapsed_nanos]]/10^9</f>
        <v>21.2869736</v>
      </c>
      <c r="I29">
        <f>VALUE(_xlfn.TEXTBEFORE(evaluation_run_0__43[[#This Row],[objective_0]], "."))</f>
        <v>11</v>
      </c>
      <c r="J29">
        <f>VALUE(_xlfn.TEXTBEFORE(evaluation_run_0__43[[#This Row],[objective_1]], "."))</f>
        <v>4</v>
      </c>
      <c r="K29">
        <f>VALUE(_xlfn.TEXTBEFORE(evaluation_run_0__43[[#This Row],[objective_4]], "."))</f>
        <v>-14</v>
      </c>
      <c r="L29">
        <f>VALUE(_xlfn.TEXTBEFORE(evaluation_run_0__43[[#This Row],[objective_5]], "."))</f>
        <v>-22</v>
      </c>
      <c r="M29">
        <f>VALUE(_xlfn.TEXTBEFORE(evaluation_run_0__43[[#This Row],[constraint]], "."))</f>
        <v>8</v>
      </c>
      <c r="P29" s="25">
        <f t="shared" si="19"/>
        <v>0</v>
      </c>
      <c r="Q29" s="25">
        <f t="shared" si="20"/>
        <v>4</v>
      </c>
      <c r="R29" s="25">
        <f t="shared" si="21"/>
        <v>-47</v>
      </c>
      <c r="S29" s="25">
        <f t="shared" si="8"/>
        <v>0</v>
      </c>
      <c r="T29" s="25">
        <f t="shared" si="22"/>
        <v>0</v>
      </c>
      <c r="V29" s="25">
        <f>evaluation_run_0__43[[#This Row],[elapsed_nanos]]/10^9</f>
        <v>21.2869736</v>
      </c>
      <c r="W29" s="25">
        <f t="shared" ref="W29:X29" si="45">IF(P$34=0,0,P61/P$34)</f>
        <v>0</v>
      </c>
      <c r="X29" s="25">
        <f t="shared" si="45"/>
        <v>9.0909090909090912E-2</v>
      </c>
      <c r="Y29" s="25">
        <f t="shared" si="4"/>
        <v>0</v>
      </c>
      <c r="Z29" s="25">
        <f t="shared" si="35"/>
        <v>0</v>
      </c>
      <c r="AA29" s="25">
        <f t="shared" si="11"/>
        <v>0</v>
      </c>
    </row>
    <row r="30" spans="1:27" x14ac:dyDescent="0.3">
      <c r="A30">
        <v>41787024200</v>
      </c>
      <c r="B30" t="s">
        <v>10</v>
      </c>
      <c r="C30" t="s">
        <v>15</v>
      </c>
      <c r="D30" t="s">
        <v>12</v>
      </c>
      <c r="E30" t="s">
        <v>34</v>
      </c>
      <c r="F30" t="s">
        <v>14</v>
      </c>
      <c r="H30" s="25">
        <f>evaluation_run_0__43[[#This Row],[elapsed_nanos]]/10^9</f>
        <v>41.787024199999998</v>
      </c>
      <c r="I30">
        <f>VALUE(_xlfn.TEXTBEFORE(evaluation_run_0__43[[#This Row],[objective_0]], "."))</f>
        <v>9</v>
      </c>
      <c r="J30">
        <f>VALUE(_xlfn.TEXTBEFORE(evaluation_run_0__43[[#This Row],[objective_1]], "."))</f>
        <v>2</v>
      </c>
      <c r="K30">
        <f>VALUE(_xlfn.TEXTBEFORE(evaluation_run_0__43[[#This Row],[objective_4]], "."))</f>
        <v>-14</v>
      </c>
      <c r="L30">
        <f>VALUE(_xlfn.TEXTBEFORE(evaluation_run_0__43[[#This Row],[objective_5]], "."))</f>
        <v>-22</v>
      </c>
      <c r="M30">
        <f>VALUE(_xlfn.TEXTBEFORE(evaluation_run_0__43[[#This Row],[constraint]], "."))</f>
        <v>8</v>
      </c>
      <c r="P30" s="25">
        <f t="shared" si="19"/>
        <v>0</v>
      </c>
      <c r="Q30" s="25">
        <f t="shared" si="20"/>
        <v>2</v>
      </c>
      <c r="R30" s="25">
        <f t="shared" si="21"/>
        <v>-47</v>
      </c>
      <c r="S30" s="25">
        <f t="shared" si="8"/>
        <v>0</v>
      </c>
      <c r="T30" s="25">
        <f t="shared" si="22"/>
        <v>0</v>
      </c>
      <c r="V30" s="25">
        <f>evaluation_run_0__43[[#This Row],[elapsed_nanos]]/10^9</f>
        <v>41.787024199999998</v>
      </c>
      <c r="W30" s="25">
        <f t="shared" ref="W30:X30" si="46">IF(P$34=0,0,P62/P$34)</f>
        <v>0</v>
      </c>
      <c r="X30" s="25">
        <f t="shared" si="46"/>
        <v>4.5454545454545456E-2</v>
      </c>
      <c r="Y30" s="25">
        <f t="shared" si="4"/>
        <v>0</v>
      </c>
      <c r="Z30" s="25">
        <f t="shared" si="35"/>
        <v>0</v>
      </c>
      <c r="AA30" s="25">
        <f t="shared" si="11"/>
        <v>0</v>
      </c>
    </row>
    <row r="32" spans="1:27" x14ac:dyDescent="0.3">
      <c r="P32" s="25"/>
      <c r="Q32" s="25"/>
      <c r="R32" s="25"/>
      <c r="S32" s="25"/>
      <c r="T32" s="25"/>
    </row>
    <row r="34" spans="16:20" x14ac:dyDescent="0.3">
      <c r="P34">
        <f>IF(MIN(P$2:P$30)&lt;0,P2-MIN(P$2:P$30),P2)</f>
        <v>0</v>
      </c>
      <c r="Q34">
        <f t="shared" ref="Q34:T34" si="47">IF(MIN(Q$2:Q$30)&lt;0,Q2-MIN(Q$2:Q$30),Q2)</f>
        <v>44</v>
      </c>
      <c r="R34">
        <f t="shared" si="47"/>
        <v>38</v>
      </c>
      <c r="S34">
        <f t="shared" si="47"/>
        <v>2</v>
      </c>
      <c r="T34">
        <f t="shared" si="47"/>
        <v>9</v>
      </c>
    </row>
    <row r="35" spans="16:20" x14ac:dyDescent="0.3">
      <c r="P35">
        <f t="shared" ref="P35:T35" si="48">IF(MIN(P$2:P$30)&lt;0,P3-MIN(P$2:P$30),P3)</f>
        <v>0</v>
      </c>
      <c r="Q35">
        <f t="shared" si="48"/>
        <v>44</v>
      </c>
      <c r="R35">
        <f t="shared" si="48"/>
        <v>33</v>
      </c>
      <c r="S35">
        <f t="shared" si="48"/>
        <v>2</v>
      </c>
      <c r="T35">
        <f t="shared" si="48"/>
        <v>8</v>
      </c>
    </row>
    <row r="36" spans="16:20" x14ac:dyDescent="0.3">
      <c r="P36">
        <f t="shared" ref="P36:T36" si="49">IF(MIN(P$2:P$30)&lt;0,P4-MIN(P$2:P$30),P4)</f>
        <v>0</v>
      </c>
      <c r="Q36">
        <f t="shared" si="49"/>
        <v>24</v>
      </c>
      <c r="R36">
        <f t="shared" si="49"/>
        <v>33</v>
      </c>
      <c r="S36">
        <f t="shared" si="49"/>
        <v>2</v>
      </c>
      <c r="T36">
        <f t="shared" si="49"/>
        <v>8</v>
      </c>
    </row>
    <row r="37" spans="16:20" x14ac:dyDescent="0.3">
      <c r="P37">
        <f t="shared" ref="P37:T37" si="50">IF(MIN(P$2:P$30)&lt;0,P5-MIN(P$2:P$30),P5)</f>
        <v>0</v>
      </c>
      <c r="Q37">
        <f t="shared" si="50"/>
        <v>12</v>
      </c>
      <c r="R37">
        <f t="shared" si="50"/>
        <v>33</v>
      </c>
      <c r="S37">
        <f t="shared" si="50"/>
        <v>1</v>
      </c>
      <c r="T37">
        <f t="shared" si="50"/>
        <v>8</v>
      </c>
    </row>
    <row r="38" spans="16:20" x14ac:dyDescent="0.3">
      <c r="P38">
        <f t="shared" ref="P38:T38" si="51">IF(MIN(P$2:P$30)&lt;0,P6-MIN(P$2:P$30),P6)</f>
        <v>0</v>
      </c>
      <c r="Q38">
        <f t="shared" si="51"/>
        <v>10</v>
      </c>
      <c r="R38">
        <f t="shared" si="51"/>
        <v>33</v>
      </c>
      <c r="S38">
        <f t="shared" si="51"/>
        <v>1</v>
      </c>
      <c r="T38">
        <f t="shared" si="51"/>
        <v>8</v>
      </c>
    </row>
    <row r="39" spans="16:20" x14ac:dyDescent="0.3">
      <c r="P39">
        <f t="shared" ref="P39:T39" si="52">IF(MIN(P$2:P$30)&lt;0,P7-MIN(P$2:P$30),P7)</f>
        <v>0</v>
      </c>
      <c r="Q39">
        <f t="shared" si="52"/>
        <v>10</v>
      </c>
      <c r="R39">
        <f t="shared" si="52"/>
        <v>31</v>
      </c>
      <c r="S39">
        <f t="shared" si="52"/>
        <v>1</v>
      </c>
      <c r="T39">
        <f t="shared" si="52"/>
        <v>8</v>
      </c>
    </row>
    <row r="40" spans="16:20" x14ac:dyDescent="0.3">
      <c r="P40">
        <f t="shared" ref="P40:T40" si="53">IF(MIN(P$2:P$30)&lt;0,P8-MIN(P$2:P$30),P8)</f>
        <v>0</v>
      </c>
      <c r="Q40">
        <f t="shared" si="53"/>
        <v>10</v>
      </c>
      <c r="R40">
        <f t="shared" si="53"/>
        <v>29</v>
      </c>
      <c r="S40">
        <f t="shared" si="53"/>
        <v>1</v>
      </c>
      <c r="T40">
        <f t="shared" si="53"/>
        <v>8</v>
      </c>
    </row>
    <row r="41" spans="16:20" x14ac:dyDescent="0.3">
      <c r="P41">
        <f t="shared" ref="P41:T41" si="54">IF(MIN(P$2:P$30)&lt;0,P9-MIN(P$2:P$30),P9)</f>
        <v>0</v>
      </c>
      <c r="Q41">
        <f t="shared" si="54"/>
        <v>10</v>
      </c>
      <c r="R41">
        <f t="shared" si="54"/>
        <v>28</v>
      </c>
      <c r="S41">
        <f t="shared" si="54"/>
        <v>1</v>
      </c>
      <c r="T41">
        <f t="shared" si="54"/>
        <v>8</v>
      </c>
    </row>
    <row r="42" spans="16:20" x14ac:dyDescent="0.3">
      <c r="P42">
        <f t="shared" ref="P42:T42" si="55">IF(MIN(P$2:P$30)&lt;0,P10-MIN(P$2:P$30),P10)</f>
        <v>0</v>
      </c>
      <c r="Q42">
        <f t="shared" si="55"/>
        <v>10</v>
      </c>
      <c r="R42">
        <f t="shared" si="55"/>
        <v>21</v>
      </c>
      <c r="S42">
        <f t="shared" si="55"/>
        <v>1</v>
      </c>
      <c r="T42">
        <f t="shared" si="55"/>
        <v>8</v>
      </c>
    </row>
    <row r="43" spans="16:20" x14ac:dyDescent="0.3">
      <c r="P43">
        <f t="shared" ref="P43:T43" si="56">IF(MIN(P$2:P$30)&lt;0,P11-MIN(P$2:P$30),P11)</f>
        <v>0</v>
      </c>
      <c r="Q43">
        <f t="shared" si="56"/>
        <v>8</v>
      </c>
      <c r="R43">
        <f t="shared" si="56"/>
        <v>21</v>
      </c>
      <c r="S43">
        <f t="shared" si="56"/>
        <v>1</v>
      </c>
      <c r="T43">
        <f t="shared" si="56"/>
        <v>8</v>
      </c>
    </row>
    <row r="44" spans="16:20" x14ac:dyDescent="0.3">
      <c r="P44">
        <f t="shared" ref="P44:T44" si="57">IF(MIN(P$2:P$30)&lt;0,P12-MIN(P$2:P$30),P12)</f>
        <v>0</v>
      </c>
      <c r="Q44">
        <f t="shared" si="57"/>
        <v>8</v>
      </c>
      <c r="R44">
        <f t="shared" si="57"/>
        <v>21</v>
      </c>
      <c r="S44">
        <f t="shared" si="57"/>
        <v>1</v>
      </c>
      <c r="T44">
        <f t="shared" si="57"/>
        <v>7</v>
      </c>
    </row>
    <row r="45" spans="16:20" x14ac:dyDescent="0.3">
      <c r="P45">
        <f t="shared" ref="P45:T45" si="58">IF(MIN(P$2:P$30)&lt;0,P13-MIN(P$2:P$30),P13)</f>
        <v>0</v>
      </c>
      <c r="Q45">
        <f t="shared" si="58"/>
        <v>8</v>
      </c>
      <c r="R45">
        <f t="shared" si="58"/>
        <v>16</v>
      </c>
      <c r="S45">
        <f t="shared" si="58"/>
        <v>1</v>
      </c>
      <c r="T45">
        <f t="shared" si="58"/>
        <v>7</v>
      </c>
    </row>
    <row r="46" spans="16:20" x14ac:dyDescent="0.3">
      <c r="P46">
        <f t="shared" ref="P46:T46" si="59">IF(MIN(P$2:P$30)&lt;0,P14-MIN(P$2:P$30),P14)</f>
        <v>0</v>
      </c>
      <c r="Q46">
        <f t="shared" si="59"/>
        <v>8</v>
      </c>
      <c r="R46">
        <f t="shared" si="59"/>
        <v>16</v>
      </c>
      <c r="S46">
        <f t="shared" si="59"/>
        <v>0</v>
      </c>
      <c r="T46">
        <f t="shared" si="59"/>
        <v>7</v>
      </c>
    </row>
    <row r="47" spans="16:20" x14ac:dyDescent="0.3">
      <c r="P47">
        <f t="shared" ref="P47:T47" si="60">IF(MIN(P$2:P$30)&lt;0,P15-MIN(P$2:P$30),P15)</f>
        <v>0</v>
      </c>
      <c r="Q47">
        <f t="shared" si="60"/>
        <v>8</v>
      </c>
      <c r="R47">
        <f t="shared" si="60"/>
        <v>16</v>
      </c>
      <c r="S47">
        <f t="shared" si="60"/>
        <v>0</v>
      </c>
      <c r="T47">
        <f t="shared" si="60"/>
        <v>6</v>
      </c>
    </row>
    <row r="48" spans="16:20" x14ac:dyDescent="0.3">
      <c r="P48">
        <f t="shared" ref="P48:T48" si="61">IF(MIN(P$2:P$30)&lt;0,P16-MIN(P$2:P$30),P16)</f>
        <v>0</v>
      </c>
      <c r="Q48">
        <f t="shared" si="61"/>
        <v>8</v>
      </c>
      <c r="R48">
        <f t="shared" si="61"/>
        <v>12</v>
      </c>
      <c r="S48">
        <f t="shared" si="61"/>
        <v>0</v>
      </c>
      <c r="T48">
        <f t="shared" si="61"/>
        <v>6</v>
      </c>
    </row>
    <row r="49" spans="16:20" x14ac:dyDescent="0.3">
      <c r="P49">
        <f t="shared" ref="P49:T49" si="62">IF(MIN(P$2:P$30)&lt;0,P17-MIN(P$2:P$30),P17)</f>
        <v>0</v>
      </c>
      <c r="Q49">
        <f t="shared" si="62"/>
        <v>8</v>
      </c>
      <c r="R49">
        <f t="shared" si="62"/>
        <v>12</v>
      </c>
      <c r="S49">
        <f t="shared" si="62"/>
        <v>0</v>
      </c>
      <c r="T49">
        <f t="shared" si="62"/>
        <v>5</v>
      </c>
    </row>
    <row r="50" spans="16:20" x14ac:dyDescent="0.3">
      <c r="P50">
        <f t="shared" ref="P50:T50" si="63">IF(MIN(P$2:P$30)&lt;0,P18-MIN(P$2:P$30),P18)</f>
        <v>0</v>
      </c>
      <c r="Q50">
        <f t="shared" si="63"/>
        <v>8</v>
      </c>
      <c r="R50">
        <f t="shared" si="63"/>
        <v>12</v>
      </c>
      <c r="S50">
        <f t="shared" si="63"/>
        <v>0</v>
      </c>
      <c r="T50">
        <f t="shared" si="63"/>
        <v>4</v>
      </c>
    </row>
    <row r="51" spans="16:20" x14ac:dyDescent="0.3">
      <c r="P51">
        <f t="shared" ref="P51:T51" si="64">IF(MIN(P$2:P$30)&lt;0,P19-MIN(P$2:P$30),P19)</f>
        <v>0</v>
      </c>
      <c r="Q51">
        <f t="shared" si="64"/>
        <v>8</v>
      </c>
      <c r="R51">
        <f t="shared" si="64"/>
        <v>8</v>
      </c>
      <c r="S51">
        <f t="shared" si="64"/>
        <v>0</v>
      </c>
      <c r="T51">
        <f t="shared" si="64"/>
        <v>4</v>
      </c>
    </row>
    <row r="52" spans="16:20" x14ac:dyDescent="0.3">
      <c r="P52">
        <f t="shared" ref="P52:T52" si="65">IF(MIN(P$2:P$30)&lt;0,P20-MIN(P$2:P$30),P20)</f>
        <v>0</v>
      </c>
      <c r="Q52">
        <f t="shared" si="65"/>
        <v>8</v>
      </c>
      <c r="R52">
        <f t="shared" si="65"/>
        <v>5</v>
      </c>
      <c r="S52">
        <f t="shared" si="65"/>
        <v>0</v>
      </c>
      <c r="T52">
        <f t="shared" si="65"/>
        <v>4</v>
      </c>
    </row>
    <row r="53" spans="16:20" x14ac:dyDescent="0.3">
      <c r="P53">
        <f t="shared" ref="P53:T53" si="66">IF(MIN(P$2:P$30)&lt;0,P21-MIN(P$2:P$30),P21)</f>
        <v>0</v>
      </c>
      <c r="Q53">
        <f t="shared" si="66"/>
        <v>8</v>
      </c>
      <c r="R53">
        <f t="shared" si="66"/>
        <v>5</v>
      </c>
      <c r="S53">
        <f t="shared" si="66"/>
        <v>0</v>
      </c>
      <c r="T53">
        <f t="shared" si="66"/>
        <v>3</v>
      </c>
    </row>
    <row r="54" spans="16:20" x14ac:dyDescent="0.3">
      <c r="P54">
        <f t="shared" ref="P54:T54" si="67">IF(MIN(P$2:P$30)&lt;0,P22-MIN(P$2:P$30),P22)</f>
        <v>0</v>
      </c>
      <c r="Q54">
        <f t="shared" si="67"/>
        <v>8</v>
      </c>
      <c r="R54">
        <f t="shared" si="67"/>
        <v>4</v>
      </c>
      <c r="S54">
        <f t="shared" si="67"/>
        <v>0</v>
      </c>
      <c r="T54">
        <f t="shared" si="67"/>
        <v>3</v>
      </c>
    </row>
    <row r="55" spans="16:20" x14ac:dyDescent="0.3">
      <c r="P55">
        <f t="shared" ref="P55:T55" si="68">IF(MIN(P$2:P$30)&lt;0,P23-MIN(P$2:P$30),P23)</f>
        <v>0</v>
      </c>
      <c r="Q55">
        <f t="shared" si="68"/>
        <v>8</v>
      </c>
      <c r="R55">
        <f t="shared" si="68"/>
        <v>4</v>
      </c>
      <c r="S55">
        <f t="shared" si="68"/>
        <v>0</v>
      </c>
      <c r="T55">
        <f t="shared" si="68"/>
        <v>2</v>
      </c>
    </row>
    <row r="56" spans="16:20" x14ac:dyDescent="0.3">
      <c r="P56">
        <f t="shared" ref="P56:T56" si="69">IF(MIN(P$2:P$30)&lt;0,P24-MIN(P$2:P$30),P24)</f>
        <v>0</v>
      </c>
      <c r="Q56">
        <f t="shared" si="69"/>
        <v>8</v>
      </c>
      <c r="R56">
        <f t="shared" si="69"/>
        <v>2</v>
      </c>
      <c r="S56">
        <f t="shared" si="69"/>
        <v>0</v>
      </c>
      <c r="T56">
        <f t="shared" si="69"/>
        <v>2</v>
      </c>
    </row>
    <row r="57" spans="16:20" x14ac:dyDescent="0.3">
      <c r="P57">
        <f t="shared" ref="P57:T57" si="70">IF(MIN(P$2:P$30)&lt;0,P25-MIN(P$2:P$30),P25)</f>
        <v>0</v>
      </c>
      <c r="Q57">
        <f t="shared" si="70"/>
        <v>8</v>
      </c>
      <c r="R57">
        <f t="shared" si="70"/>
        <v>1</v>
      </c>
      <c r="S57">
        <f t="shared" si="70"/>
        <v>0</v>
      </c>
      <c r="T57">
        <f t="shared" si="70"/>
        <v>1</v>
      </c>
    </row>
    <row r="58" spans="16:20" x14ac:dyDescent="0.3">
      <c r="P58">
        <f t="shared" ref="P58:T58" si="71">IF(MIN(P$2:P$30)&lt;0,P26-MIN(P$2:P$30),P26)</f>
        <v>0</v>
      </c>
      <c r="Q58">
        <f t="shared" si="71"/>
        <v>8</v>
      </c>
      <c r="R58">
        <f t="shared" si="71"/>
        <v>1</v>
      </c>
      <c r="S58">
        <f t="shared" si="71"/>
        <v>0</v>
      </c>
      <c r="T58">
        <f t="shared" si="71"/>
        <v>0</v>
      </c>
    </row>
    <row r="59" spans="16:20" x14ac:dyDescent="0.3">
      <c r="P59">
        <f t="shared" ref="P59:T59" si="72">IF(MIN(P$2:P$30)&lt;0,P27-MIN(P$2:P$30),P27)</f>
        <v>0</v>
      </c>
      <c r="Q59">
        <f t="shared" si="72"/>
        <v>8</v>
      </c>
      <c r="R59">
        <f t="shared" si="72"/>
        <v>0</v>
      </c>
      <c r="S59">
        <f t="shared" si="72"/>
        <v>0</v>
      </c>
      <c r="T59">
        <f t="shared" si="72"/>
        <v>0</v>
      </c>
    </row>
    <row r="60" spans="16:20" x14ac:dyDescent="0.3">
      <c r="P60">
        <f t="shared" ref="P60:T60" si="73">IF(MIN(P$2:P$30)&lt;0,P28-MIN(P$2:P$30),P28)</f>
        <v>0</v>
      </c>
      <c r="Q60">
        <f t="shared" si="73"/>
        <v>6</v>
      </c>
      <c r="R60">
        <f t="shared" si="73"/>
        <v>0</v>
      </c>
      <c r="S60">
        <f t="shared" si="73"/>
        <v>0</v>
      </c>
      <c r="T60">
        <f t="shared" si="73"/>
        <v>0</v>
      </c>
    </row>
    <row r="61" spans="16:20" x14ac:dyDescent="0.3">
      <c r="P61">
        <f t="shared" ref="P61:T61" si="74">IF(MIN(P$2:P$30)&lt;0,P29-MIN(P$2:P$30),P29)</f>
        <v>0</v>
      </c>
      <c r="Q61">
        <f t="shared" si="74"/>
        <v>4</v>
      </c>
      <c r="R61">
        <f t="shared" si="74"/>
        <v>0</v>
      </c>
      <c r="S61">
        <f t="shared" si="74"/>
        <v>0</v>
      </c>
      <c r="T61">
        <f t="shared" si="74"/>
        <v>0</v>
      </c>
    </row>
    <row r="62" spans="16:20" x14ac:dyDescent="0.3">
      <c r="P62">
        <f t="shared" ref="P62:T62" si="75">IF(MIN(P$2:P$30)&lt;0,P30-MIN(P$2:P$30),P30)</f>
        <v>0</v>
      </c>
      <c r="Q62">
        <f t="shared" si="75"/>
        <v>2</v>
      </c>
      <c r="R62">
        <f t="shared" si="75"/>
        <v>0</v>
      </c>
      <c r="S62">
        <f t="shared" si="75"/>
        <v>0</v>
      </c>
      <c r="T62">
        <f t="shared" si="75"/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A51F-5846-4A71-B5AD-CFEB880E6CCF}">
  <dimension ref="A4:V38"/>
  <sheetViews>
    <sheetView workbookViewId="0">
      <selection activeCell="N7" sqref="N7"/>
    </sheetView>
  </sheetViews>
  <sheetFormatPr defaultRowHeight="14.4" x14ac:dyDescent="0.3"/>
  <cols>
    <col min="1" max="1" width="9.33203125" customWidth="1"/>
    <col min="2" max="2" width="10.5546875" customWidth="1"/>
    <col min="3" max="3" width="8.6640625" customWidth="1"/>
    <col min="4" max="4" width="5.33203125" customWidth="1"/>
    <col min="5" max="5" width="5.5546875" customWidth="1"/>
    <col min="6" max="6" width="5.6640625" customWidth="1"/>
    <col min="7" max="7" width="7.109375" customWidth="1"/>
    <col min="8" max="8" width="6.21875" customWidth="1"/>
    <col min="9" max="9" width="5.6640625" customWidth="1"/>
    <col min="10" max="12" width="10" customWidth="1"/>
    <col min="13" max="13" width="12.6640625" customWidth="1"/>
    <col min="14" max="14" width="15.44140625" customWidth="1"/>
    <col min="15" max="15" width="12" customWidth="1"/>
  </cols>
  <sheetData>
    <row r="4" spans="1:22" x14ac:dyDescent="0.3">
      <c r="A4" t="s">
        <v>67</v>
      </c>
      <c r="M4" t="s">
        <v>67</v>
      </c>
    </row>
    <row r="5" spans="1:22" x14ac:dyDescent="0.3">
      <c r="A5" t="s">
        <v>138</v>
      </c>
      <c r="B5" t="s">
        <v>139</v>
      </c>
      <c r="C5" t="s">
        <v>140</v>
      </c>
      <c r="D5" t="s">
        <v>141</v>
      </c>
      <c r="E5" t="s">
        <v>142</v>
      </c>
      <c r="F5" t="s">
        <v>143</v>
      </c>
      <c r="G5" t="s">
        <v>144</v>
      </c>
      <c r="H5" t="s">
        <v>145</v>
      </c>
      <c r="I5" t="s">
        <v>146</v>
      </c>
      <c r="J5" t="s">
        <v>147</v>
      </c>
      <c r="M5" s="3" t="s">
        <v>147</v>
      </c>
      <c r="N5" s="1" t="s">
        <v>138</v>
      </c>
      <c r="O5" s="2" t="s">
        <v>139</v>
      </c>
      <c r="P5" s="2" t="s">
        <v>140</v>
      </c>
      <c r="Q5" s="2" t="s">
        <v>141</v>
      </c>
      <c r="R5" s="2" t="s">
        <v>142</v>
      </c>
      <c r="S5" s="2" t="s">
        <v>143</v>
      </c>
      <c r="T5" s="2" t="s">
        <v>144</v>
      </c>
      <c r="U5" s="2" t="s">
        <v>145</v>
      </c>
      <c r="V5" s="2" t="s">
        <v>146</v>
      </c>
    </row>
    <row r="6" spans="1:22" x14ac:dyDescent="0.3">
      <c r="A6">
        <v>715095500</v>
      </c>
      <c r="B6">
        <v>5050724900</v>
      </c>
      <c r="C6">
        <v>775500</v>
      </c>
      <c r="D6">
        <v>149</v>
      </c>
      <c r="E6">
        <v>101</v>
      </c>
      <c r="F6">
        <v>3817</v>
      </c>
      <c r="G6">
        <v>3817</v>
      </c>
      <c r="H6">
        <v>2917</v>
      </c>
      <c r="I6">
        <v>2917</v>
      </c>
      <c r="J6" s="4">
        <v>10000000000</v>
      </c>
      <c r="K6" s="4"/>
      <c r="L6" s="4"/>
      <c r="M6">
        <f>MEDIAN(variation_metrics__2[total_nanos])</f>
        <v>10000000000</v>
      </c>
      <c r="N6">
        <f>MEDIAN(variation_metrics__2[crossover_nanos])</f>
        <v>715095500</v>
      </c>
      <c r="O6">
        <f>MEDIAN(variation_metrics__2[mutation_nanos])</f>
        <v>5169529600</v>
      </c>
      <c r="P6">
        <f>MEDIAN(variation_metrics__2[eval_measurement_nanos])</f>
        <v>553300</v>
      </c>
      <c r="Q6">
        <f>MEDIAN(variation_metrics__2[total_cross])</f>
        <v>173</v>
      </c>
      <c r="R6">
        <f>MEDIAN(variation_metrics__2[success_cross])</f>
        <v>121</v>
      </c>
      <c r="S6">
        <f>MEDIAN(variation_metrics__2[total_mut])</f>
        <v>4417</v>
      </c>
      <c r="T6">
        <f>MEDIAN(variation_metrics__2[success_mut])</f>
        <v>4416</v>
      </c>
      <c r="U6">
        <f>MEDIAN(variation_metrics__2[total_eval])</f>
        <v>3517</v>
      </c>
      <c r="V6">
        <f>MEDIAN(variation_metrics__2[success_eval])</f>
        <v>3516</v>
      </c>
    </row>
    <row r="7" spans="1:22" x14ac:dyDescent="0.3">
      <c r="A7">
        <v>743506100</v>
      </c>
      <c r="B7">
        <v>5166228800</v>
      </c>
      <c r="C7">
        <v>493400</v>
      </c>
      <c r="D7">
        <v>164</v>
      </c>
      <c r="E7">
        <v>102</v>
      </c>
      <c r="F7">
        <v>4114</v>
      </c>
      <c r="G7">
        <v>4114</v>
      </c>
      <c r="H7">
        <v>3214</v>
      </c>
      <c r="I7">
        <v>3214</v>
      </c>
      <c r="J7" s="4">
        <v>10000000000</v>
      </c>
      <c r="K7" s="4"/>
      <c r="L7" s="4" t="s">
        <v>149</v>
      </c>
      <c r="M7">
        <f>M6/10^9</f>
        <v>10</v>
      </c>
      <c r="N7">
        <f t="shared" ref="N7:O7" si="0">N6/10^9</f>
        <v>0.7150955</v>
      </c>
      <c r="O7">
        <f t="shared" si="0"/>
        <v>5.1695295999999997</v>
      </c>
      <c r="P7">
        <f>P6/10^9</f>
        <v>5.5329999999999995E-4</v>
      </c>
    </row>
    <row r="8" spans="1:22" x14ac:dyDescent="0.3">
      <c r="A8">
        <v>665737400</v>
      </c>
      <c r="B8">
        <v>5197130600</v>
      </c>
      <c r="C8">
        <v>554400</v>
      </c>
      <c r="D8">
        <v>183</v>
      </c>
      <c r="E8">
        <v>124</v>
      </c>
      <c r="F8">
        <v>4816</v>
      </c>
      <c r="G8">
        <v>4816</v>
      </c>
      <c r="H8">
        <v>3916</v>
      </c>
      <c r="I8">
        <v>3916</v>
      </c>
      <c r="J8" s="4">
        <v>10000000000</v>
      </c>
      <c r="K8" s="4"/>
      <c r="L8" s="4"/>
      <c r="Q8" t="s">
        <v>150</v>
      </c>
      <c r="R8" s="5">
        <f>R6/Q6</f>
        <v>0.69942196531791911</v>
      </c>
      <c r="S8" t="s">
        <v>150</v>
      </c>
      <c r="T8" s="5">
        <f>T6/S6</f>
        <v>0.99977360199230247</v>
      </c>
      <c r="U8" t="s">
        <v>150</v>
      </c>
      <c r="V8" s="5">
        <f>V6/U6</f>
        <v>0.99971566676144441</v>
      </c>
    </row>
    <row r="9" spans="1:22" x14ac:dyDescent="0.3">
      <c r="A9">
        <v>634566000</v>
      </c>
      <c r="B9">
        <v>5255410400</v>
      </c>
      <c r="C9">
        <v>628000</v>
      </c>
      <c r="D9">
        <v>203</v>
      </c>
      <c r="E9">
        <v>142</v>
      </c>
      <c r="F9">
        <v>5122</v>
      </c>
      <c r="G9">
        <v>5122</v>
      </c>
      <c r="H9">
        <v>4222</v>
      </c>
      <c r="I9">
        <v>4222</v>
      </c>
      <c r="J9" s="4">
        <v>10000000000</v>
      </c>
      <c r="K9" s="4"/>
      <c r="L9" s="4"/>
    </row>
    <row r="10" spans="1:22" x14ac:dyDescent="0.3">
      <c r="A10">
        <v>719666500</v>
      </c>
      <c r="B10">
        <v>5124017400</v>
      </c>
      <c r="C10">
        <v>586100</v>
      </c>
      <c r="D10">
        <v>213</v>
      </c>
      <c r="E10">
        <v>138</v>
      </c>
      <c r="F10">
        <v>5016</v>
      </c>
      <c r="G10">
        <v>5016</v>
      </c>
      <c r="H10">
        <v>4116</v>
      </c>
      <c r="I10">
        <v>4116</v>
      </c>
      <c r="J10" s="4">
        <v>10000000000</v>
      </c>
      <c r="K10" s="4"/>
      <c r="L10" s="4"/>
    </row>
    <row r="11" spans="1:22" x14ac:dyDescent="0.3">
      <c r="A11">
        <v>622163900</v>
      </c>
      <c r="B11">
        <v>5255661100</v>
      </c>
      <c r="C11">
        <v>550700</v>
      </c>
      <c r="D11">
        <v>164</v>
      </c>
      <c r="E11">
        <v>121</v>
      </c>
      <c r="F11">
        <v>4417</v>
      </c>
      <c r="G11">
        <v>4416</v>
      </c>
      <c r="H11">
        <v>3517</v>
      </c>
      <c r="I11">
        <v>3516</v>
      </c>
      <c r="J11" s="4">
        <v>10000000000</v>
      </c>
      <c r="K11" s="4"/>
      <c r="L11" s="4"/>
    </row>
    <row r="12" spans="1:22" x14ac:dyDescent="0.3">
      <c r="A12">
        <v>747415000</v>
      </c>
      <c r="B12">
        <v>5140545100</v>
      </c>
      <c r="C12">
        <v>553300</v>
      </c>
      <c r="D12">
        <v>209</v>
      </c>
      <c r="E12">
        <v>141</v>
      </c>
      <c r="F12">
        <v>4721</v>
      </c>
      <c r="G12">
        <v>4721</v>
      </c>
      <c r="H12">
        <v>3821</v>
      </c>
      <c r="I12">
        <v>3821</v>
      </c>
      <c r="J12" s="4">
        <v>10000000000</v>
      </c>
      <c r="K12" s="4"/>
      <c r="L12" s="4"/>
    </row>
    <row r="13" spans="1:22" x14ac:dyDescent="0.3">
      <c r="A13">
        <v>721243400</v>
      </c>
      <c r="B13">
        <v>5210194200</v>
      </c>
      <c r="C13">
        <v>508500</v>
      </c>
      <c r="D13">
        <v>173</v>
      </c>
      <c r="E13">
        <v>96</v>
      </c>
      <c r="F13">
        <v>4214</v>
      </c>
      <c r="G13">
        <v>4214</v>
      </c>
      <c r="H13">
        <v>3314</v>
      </c>
      <c r="I13">
        <v>3314</v>
      </c>
      <c r="J13" s="4">
        <v>10000000000</v>
      </c>
      <c r="K13" s="4"/>
      <c r="L13" s="4"/>
    </row>
    <row r="14" spans="1:22" x14ac:dyDescent="0.3">
      <c r="A14">
        <v>697160500</v>
      </c>
      <c r="B14">
        <v>5169529600</v>
      </c>
      <c r="C14">
        <v>479600</v>
      </c>
      <c r="D14">
        <v>158</v>
      </c>
      <c r="E14">
        <v>95</v>
      </c>
      <c r="F14">
        <v>4115</v>
      </c>
      <c r="G14">
        <v>4115</v>
      </c>
      <c r="H14">
        <v>3215</v>
      </c>
      <c r="I14">
        <v>3215</v>
      </c>
      <c r="J14" s="4">
        <v>10000000000</v>
      </c>
      <c r="K14" s="4"/>
      <c r="L14" s="4"/>
    </row>
    <row r="16" spans="1:22" x14ac:dyDescent="0.3">
      <c r="A16" t="s">
        <v>148</v>
      </c>
      <c r="M16" t="s">
        <v>148</v>
      </c>
    </row>
    <row r="17" spans="1:22" x14ac:dyDescent="0.3">
      <c r="A17" t="s">
        <v>138</v>
      </c>
      <c r="B17" t="s">
        <v>139</v>
      </c>
      <c r="C17" t="s">
        <v>140</v>
      </c>
      <c r="D17" t="s">
        <v>141</v>
      </c>
      <c r="E17" t="s">
        <v>142</v>
      </c>
      <c r="F17" t="s">
        <v>143</v>
      </c>
      <c r="G17" t="s">
        <v>144</v>
      </c>
      <c r="H17" t="s">
        <v>145</v>
      </c>
      <c r="I17" t="s">
        <v>146</v>
      </c>
      <c r="J17" t="s">
        <v>147</v>
      </c>
      <c r="M17" s="3" t="s">
        <v>147</v>
      </c>
      <c r="N17" s="1" t="s">
        <v>138</v>
      </c>
      <c r="O17" s="2" t="s">
        <v>139</v>
      </c>
      <c r="P17" s="2" t="s">
        <v>140</v>
      </c>
      <c r="Q17" s="2" t="s">
        <v>141</v>
      </c>
      <c r="R17" s="2" t="s">
        <v>142</v>
      </c>
      <c r="S17" s="2" t="s">
        <v>143</v>
      </c>
      <c r="T17" s="2" t="s">
        <v>144</v>
      </c>
      <c r="U17" s="2" t="s">
        <v>145</v>
      </c>
      <c r="V17" s="2" t="s">
        <v>146</v>
      </c>
    </row>
    <row r="18" spans="1:22" x14ac:dyDescent="0.3">
      <c r="A18">
        <v>749252600</v>
      </c>
      <c r="B18">
        <v>5032092700</v>
      </c>
      <c r="C18">
        <v>835800</v>
      </c>
      <c r="D18">
        <v>166</v>
      </c>
      <c r="E18">
        <v>120</v>
      </c>
      <c r="F18">
        <v>4018</v>
      </c>
      <c r="G18">
        <v>4018</v>
      </c>
      <c r="H18">
        <v>3118</v>
      </c>
      <c r="I18">
        <v>3118</v>
      </c>
      <c r="J18" s="4">
        <v>10000000000</v>
      </c>
      <c r="K18" s="4"/>
      <c r="L18" s="4"/>
      <c r="M18">
        <f>MEDIAN(variation_metrics__312[total_nanos])</f>
        <v>10000000000</v>
      </c>
      <c r="N18">
        <f>MEDIAN(variation_metrics__312[crossover_nanos])</f>
        <v>714693700</v>
      </c>
      <c r="O18">
        <f>MEDIAN(variation_metrics__312[mutation_nanos])</f>
        <v>5180920600</v>
      </c>
      <c r="P18">
        <f>MEDIAN(variation_metrics__312[eval_measurement_nanos])</f>
        <v>502800</v>
      </c>
      <c r="Q18">
        <f>MEDIAN(variation_metrics__312[total_cross])</f>
        <v>157</v>
      </c>
      <c r="R18">
        <f>MEDIAN(variation_metrics__312[success_cross])</f>
        <v>101</v>
      </c>
      <c r="S18">
        <f>MEDIAN(variation_metrics__312[total_mut])</f>
        <v>3913</v>
      </c>
      <c r="T18">
        <f>MEDIAN(variation_metrics__312[success_mut])</f>
        <v>3912</v>
      </c>
      <c r="U18">
        <f>MEDIAN(variation_metrics__312[total_eval])</f>
        <v>3013</v>
      </c>
      <c r="V18">
        <f>MEDIAN(variation_metrics__312[success_eval])</f>
        <v>3012</v>
      </c>
    </row>
    <row r="19" spans="1:22" x14ac:dyDescent="0.3">
      <c r="A19">
        <v>828357600</v>
      </c>
      <c r="B19">
        <v>4998356300</v>
      </c>
      <c r="C19">
        <v>425800</v>
      </c>
      <c r="D19">
        <v>169</v>
      </c>
      <c r="E19">
        <v>107</v>
      </c>
      <c r="F19">
        <v>3913</v>
      </c>
      <c r="G19">
        <v>3910</v>
      </c>
      <c r="H19">
        <v>3013</v>
      </c>
      <c r="I19">
        <v>3010</v>
      </c>
      <c r="J19" s="4">
        <v>10000000000</v>
      </c>
      <c r="K19" s="4"/>
      <c r="L19" s="4" t="s">
        <v>149</v>
      </c>
      <c r="M19">
        <f>M18/10^9</f>
        <v>10</v>
      </c>
      <c r="N19">
        <f t="shared" ref="N19" si="1">N18/10^9</f>
        <v>0.71469369999999999</v>
      </c>
      <c r="O19">
        <f t="shared" ref="O19" si="2">O18/10^9</f>
        <v>5.1809206000000003</v>
      </c>
      <c r="P19">
        <f>P18/10^9</f>
        <v>5.0279999999999997E-4</v>
      </c>
    </row>
    <row r="20" spans="1:22" x14ac:dyDescent="0.3">
      <c r="A20">
        <v>689095900</v>
      </c>
      <c r="B20">
        <v>5183924800</v>
      </c>
      <c r="C20">
        <v>545500</v>
      </c>
      <c r="D20">
        <v>159</v>
      </c>
      <c r="E20">
        <v>94</v>
      </c>
      <c r="F20">
        <v>4118</v>
      </c>
      <c r="G20">
        <v>4116</v>
      </c>
      <c r="H20">
        <v>3218</v>
      </c>
      <c r="I20">
        <v>3216</v>
      </c>
      <c r="J20" s="4">
        <v>10000000000</v>
      </c>
      <c r="K20" s="4"/>
      <c r="L20" s="4"/>
      <c r="Q20" t="s">
        <v>150</v>
      </c>
      <c r="R20" s="5">
        <f>R18/Q18</f>
        <v>0.64331210191082799</v>
      </c>
      <c r="S20" t="s">
        <v>150</v>
      </c>
      <c r="T20" s="5">
        <f>T18/S18</f>
        <v>0.99974444160490672</v>
      </c>
      <c r="U20" t="s">
        <v>150</v>
      </c>
      <c r="V20" s="5">
        <f>V18/U18</f>
        <v>0.99966810487885827</v>
      </c>
    </row>
    <row r="21" spans="1:22" x14ac:dyDescent="0.3">
      <c r="A21">
        <v>766913000</v>
      </c>
      <c r="B21">
        <v>5227329900</v>
      </c>
      <c r="C21">
        <v>456700</v>
      </c>
      <c r="D21">
        <v>155</v>
      </c>
      <c r="E21">
        <v>118</v>
      </c>
      <c r="F21">
        <v>3910</v>
      </c>
      <c r="G21">
        <v>3908</v>
      </c>
      <c r="H21">
        <v>3010</v>
      </c>
      <c r="I21">
        <v>3008</v>
      </c>
      <c r="J21" s="4">
        <v>10000000000</v>
      </c>
      <c r="K21" s="4"/>
      <c r="L21" s="4"/>
    </row>
    <row r="22" spans="1:22" x14ac:dyDescent="0.3">
      <c r="A22">
        <v>707186100</v>
      </c>
      <c r="B22">
        <v>5215800100</v>
      </c>
      <c r="C22">
        <v>593100</v>
      </c>
      <c r="D22">
        <v>124</v>
      </c>
      <c r="E22">
        <v>73</v>
      </c>
      <c r="F22">
        <v>3509</v>
      </c>
      <c r="G22">
        <v>3509</v>
      </c>
      <c r="H22">
        <v>2609</v>
      </c>
      <c r="I22">
        <v>2607</v>
      </c>
      <c r="J22" s="4">
        <v>10000000000</v>
      </c>
      <c r="K22" s="4"/>
      <c r="L22" s="4"/>
    </row>
    <row r="23" spans="1:22" x14ac:dyDescent="0.3">
      <c r="A23">
        <v>714693700</v>
      </c>
      <c r="B23">
        <v>5180920600</v>
      </c>
      <c r="C23">
        <v>502800</v>
      </c>
      <c r="D23">
        <v>151</v>
      </c>
      <c r="E23">
        <v>101</v>
      </c>
      <c r="F23">
        <v>3915</v>
      </c>
      <c r="G23">
        <v>3910</v>
      </c>
      <c r="H23">
        <v>3015</v>
      </c>
      <c r="I23">
        <v>3010</v>
      </c>
      <c r="J23" s="4">
        <v>10000000000</v>
      </c>
      <c r="K23" s="4"/>
      <c r="L23" s="4"/>
    </row>
    <row r="24" spans="1:22" x14ac:dyDescent="0.3">
      <c r="A24">
        <v>653615800</v>
      </c>
      <c r="B24">
        <v>5251469700</v>
      </c>
      <c r="C24">
        <v>483000</v>
      </c>
      <c r="D24">
        <v>135</v>
      </c>
      <c r="E24">
        <v>80</v>
      </c>
      <c r="F24">
        <v>3912</v>
      </c>
      <c r="G24">
        <v>3912</v>
      </c>
      <c r="H24">
        <v>3012</v>
      </c>
      <c r="I24">
        <v>3012</v>
      </c>
      <c r="J24" s="4">
        <v>10000000000</v>
      </c>
      <c r="K24" s="4"/>
      <c r="L24" s="4"/>
    </row>
    <row r="25" spans="1:22" x14ac:dyDescent="0.3">
      <c r="A25">
        <v>786966100</v>
      </c>
      <c r="B25">
        <v>4960563200</v>
      </c>
      <c r="C25">
        <v>536400</v>
      </c>
      <c r="D25">
        <v>162</v>
      </c>
      <c r="E25">
        <v>93</v>
      </c>
      <c r="F25">
        <v>3913</v>
      </c>
      <c r="G25">
        <v>3912</v>
      </c>
      <c r="H25">
        <v>3013</v>
      </c>
      <c r="I25">
        <v>3012</v>
      </c>
      <c r="J25" s="4">
        <v>10000000000</v>
      </c>
      <c r="K25" s="4"/>
      <c r="L25" s="4"/>
    </row>
    <row r="26" spans="1:22" x14ac:dyDescent="0.3">
      <c r="A26">
        <v>707790200</v>
      </c>
      <c r="B26">
        <v>5037526500</v>
      </c>
      <c r="C26">
        <v>431700</v>
      </c>
      <c r="D26">
        <v>157</v>
      </c>
      <c r="E26">
        <v>114</v>
      </c>
      <c r="F26">
        <v>4114</v>
      </c>
      <c r="G26">
        <v>4112</v>
      </c>
      <c r="H26">
        <v>3214</v>
      </c>
      <c r="I26">
        <v>3212</v>
      </c>
      <c r="J26" s="4">
        <v>10000000000</v>
      </c>
      <c r="K26" s="4"/>
      <c r="L26" s="4"/>
    </row>
    <row r="28" spans="1:22" x14ac:dyDescent="0.3">
      <c r="A28" t="s">
        <v>70</v>
      </c>
      <c r="M28" t="s">
        <v>70</v>
      </c>
    </row>
    <row r="29" spans="1:22" x14ac:dyDescent="0.3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143</v>
      </c>
      <c r="G29" t="s">
        <v>144</v>
      </c>
      <c r="H29" t="s">
        <v>145</v>
      </c>
      <c r="I29" t="s">
        <v>146</v>
      </c>
      <c r="J29" t="s">
        <v>147</v>
      </c>
      <c r="M29" s="3" t="s">
        <v>147</v>
      </c>
      <c r="N29" s="1" t="s">
        <v>138</v>
      </c>
      <c r="O29" s="2" t="s">
        <v>139</v>
      </c>
      <c r="P29" s="2" t="s">
        <v>140</v>
      </c>
      <c r="Q29" s="2" t="s">
        <v>141</v>
      </c>
      <c r="R29" s="2" t="s">
        <v>142</v>
      </c>
      <c r="S29" s="2" t="s">
        <v>143</v>
      </c>
      <c r="T29" s="2" t="s">
        <v>144</v>
      </c>
      <c r="U29" s="2" t="s">
        <v>145</v>
      </c>
      <c r="V29" s="2" t="s">
        <v>146</v>
      </c>
    </row>
    <row r="30" spans="1:22" x14ac:dyDescent="0.3">
      <c r="A30">
        <v>665445905</v>
      </c>
      <c r="B30">
        <v>4892613371</v>
      </c>
      <c r="C30">
        <v>1005624</v>
      </c>
      <c r="D30">
        <v>174</v>
      </c>
      <c r="E30">
        <v>84</v>
      </c>
      <c r="F30">
        <v>4622</v>
      </c>
      <c r="G30">
        <v>4622</v>
      </c>
      <c r="H30">
        <v>3722</v>
      </c>
      <c r="I30">
        <v>3717</v>
      </c>
      <c r="J30" s="4">
        <v>10000000000</v>
      </c>
      <c r="K30" s="4"/>
      <c r="L30" s="4"/>
      <c r="M30">
        <f>MEDIAN(variation_metrics[total_nanos])</f>
        <v>10000000000</v>
      </c>
      <c r="N30">
        <f>MEDIAN(variation_metrics[crossover_nanos])</f>
        <v>693413206</v>
      </c>
      <c r="O30">
        <f>MEDIAN(variation_metrics[mutation_nanos])</f>
        <v>4982288846</v>
      </c>
      <c r="P30">
        <f>MEDIAN(variation_metrics[eval_measurement_nanos])</f>
        <v>649964</v>
      </c>
      <c r="Q30">
        <f>MEDIAN(variation_metrics[total_cross])</f>
        <v>195</v>
      </c>
      <c r="R30">
        <f>MEDIAN(variation_metrics[success_cross])</f>
        <v>96</v>
      </c>
      <c r="S30">
        <f>MEDIAN(variation_metrics[total_mut])</f>
        <v>4920</v>
      </c>
      <c r="T30">
        <f>MEDIAN(variation_metrics[success_mut])</f>
        <v>4888</v>
      </c>
      <c r="U30">
        <f>MEDIAN(variation_metrics[total_eval])</f>
        <v>4020</v>
      </c>
      <c r="V30">
        <f>MEDIAN(variation_metrics[success_eval])</f>
        <v>3988</v>
      </c>
    </row>
    <row r="31" spans="1:22" x14ac:dyDescent="0.3">
      <c r="A31">
        <v>693413206</v>
      </c>
      <c r="B31">
        <v>5014895846</v>
      </c>
      <c r="C31">
        <v>728761</v>
      </c>
      <c r="D31">
        <v>208</v>
      </c>
      <c r="E31">
        <v>106</v>
      </c>
      <c r="F31">
        <v>5216</v>
      </c>
      <c r="G31">
        <v>5216</v>
      </c>
      <c r="H31">
        <v>4316</v>
      </c>
      <c r="I31">
        <v>4306</v>
      </c>
      <c r="J31" s="4">
        <v>10000000000</v>
      </c>
      <c r="K31" s="4"/>
      <c r="L31" s="4" t="s">
        <v>149</v>
      </c>
      <c r="M31">
        <f>M30/10^9</f>
        <v>10</v>
      </c>
      <c r="N31">
        <f t="shared" ref="N31" si="3">N30/10^9</f>
        <v>0.693413206</v>
      </c>
      <c r="O31">
        <f t="shared" ref="O31" si="4">O30/10^9</f>
        <v>4.9822888460000003</v>
      </c>
      <c r="P31">
        <f>P30/10^9</f>
        <v>6.4996400000000005E-4</v>
      </c>
    </row>
    <row r="32" spans="1:22" x14ac:dyDescent="0.3">
      <c r="A32">
        <v>757282190</v>
      </c>
      <c r="B32">
        <v>4932620990</v>
      </c>
      <c r="C32">
        <v>649964</v>
      </c>
      <c r="D32">
        <v>195</v>
      </c>
      <c r="E32">
        <v>81</v>
      </c>
      <c r="F32">
        <v>4723</v>
      </c>
      <c r="G32">
        <v>4721</v>
      </c>
      <c r="H32">
        <v>3823</v>
      </c>
      <c r="I32">
        <v>3818</v>
      </c>
      <c r="J32" s="4">
        <v>10000000000</v>
      </c>
      <c r="K32" s="4"/>
      <c r="L32" s="4"/>
      <c r="Q32" t="s">
        <v>150</v>
      </c>
      <c r="R32" s="5">
        <f>R30/Q30</f>
        <v>0.49230769230769234</v>
      </c>
      <c r="S32" t="s">
        <v>150</v>
      </c>
      <c r="T32" s="5">
        <f>T30/S30</f>
        <v>0.99349593495934962</v>
      </c>
      <c r="U32" t="s">
        <v>150</v>
      </c>
      <c r="V32" s="5">
        <f>V30/U30</f>
        <v>0.99203980099502487</v>
      </c>
    </row>
    <row r="33" spans="1:12" x14ac:dyDescent="0.3">
      <c r="A33">
        <v>662281195</v>
      </c>
      <c r="B33">
        <v>4987753490</v>
      </c>
      <c r="C33">
        <v>601682</v>
      </c>
      <c r="D33">
        <v>185</v>
      </c>
      <c r="E33">
        <v>99</v>
      </c>
      <c r="F33">
        <v>4921</v>
      </c>
      <c r="G33">
        <v>4888</v>
      </c>
      <c r="H33">
        <v>4021</v>
      </c>
      <c r="I33">
        <v>3988</v>
      </c>
      <c r="J33" s="4">
        <v>10000000000</v>
      </c>
      <c r="K33" s="4"/>
      <c r="L33" s="4"/>
    </row>
    <row r="34" spans="1:12" x14ac:dyDescent="0.3">
      <c r="A34">
        <v>662389458</v>
      </c>
      <c r="B34">
        <v>5094387813</v>
      </c>
      <c r="C34">
        <v>614057</v>
      </c>
      <c r="D34">
        <v>191</v>
      </c>
      <c r="E34">
        <v>96</v>
      </c>
      <c r="F34">
        <v>4920</v>
      </c>
      <c r="G34">
        <v>4920</v>
      </c>
      <c r="H34">
        <v>4020</v>
      </c>
      <c r="I34">
        <v>4016</v>
      </c>
      <c r="J34" s="4">
        <v>10000000000</v>
      </c>
      <c r="K34" s="4"/>
      <c r="L34" s="4"/>
    </row>
    <row r="35" spans="1:12" x14ac:dyDescent="0.3">
      <c r="A35">
        <v>733498999</v>
      </c>
      <c r="B35">
        <v>4888705886</v>
      </c>
      <c r="C35">
        <v>660314</v>
      </c>
      <c r="D35">
        <v>200</v>
      </c>
      <c r="E35">
        <v>86</v>
      </c>
      <c r="F35">
        <v>4816</v>
      </c>
      <c r="G35">
        <v>4816</v>
      </c>
      <c r="H35">
        <v>3916</v>
      </c>
      <c r="I35">
        <v>3914</v>
      </c>
      <c r="J35" s="4">
        <v>10000000000</v>
      </c>
      <c r="K35" s="4"/>
      <c r="L35" s="4"/>
    </row>
    <row r="36" spans="1:12" x14ac:dyDescent="0.3">
      <c r="A36">
        <v>724117315</v>
      </c>
      <c r="B36">
        <v>4982288846</v>
      </c>
      <c r="C36">
        <v>664411</v>
      </c>
      <c r="D36">
        <v>226</v>
      </c>
      <c r="E36">
        <v>124</v>
      </c>
      <c r="F36">
        <v>5328</v>
      </c>
      <c r="G36">
        <v>5306</v>
      </c>
      <c r="H36">
        <v>4428</v>
      </c>
      <c r="I36">
        <v>4401</v>
      </c>
      <c r="J36" s="4">
        <v>10000000000</v>
      </c>
      <c r="K36" s="4"/>
      <c r="L36" s="4"/>
    </row>
    <row r="37" spans="1:12" x14ac:dyDescent="0.3">
      <c r="A37">
        <v>739382420</v>
      </c>
      <c r="B37">
        <v>5026634776</v>
      </c>
      <c r="C37">
        <v>600263</v>
      </c>
      <c r="D37">
        <v>230</v>
      </c>
      <c r="E37">
        <v>99</v>
      </c>
      <c r="F37">
        <v>5421</v>
      </c>
      <c r="G37">
        <v>5263</v>
      </c>
      <c r="H37">
        <v>4521</v>
      </c>
      <c r="I37">
        <v>4362</v>
      </c>
      <c r="J37" s="4">
        <v>10000000000</v>
      </c>
      <c r="K37" s="4"/>
      <c r="L37" s="4"/>
    </row>
    <row r="38" spans="1:12" x14ac:dyDescent="0.3">
      <c r="A38">
        <v>669072978</v>
      </c>
      <c r="B38">
        <v>4968867904</v>
      </c>
      <c r="C38">
        <v>595110</v>
      </c>
      <c r="D38">
        <v>186</v>
      </c>
      <c r="E38">
        <v>77</v>
      </c>
      <c r="F38">
        <v>4819</v>
      </c>
      <c r="G38">
        <v>4819</v>
      </c>
      <c r="H38">
        <v>3919</v>
      </c>
      <c r="I38">
        <v>3913</v>
      </c>
      <c r="J38" s="4">
        <v>10000000000</v>
      </c>
      <c r="K38" s="4"/>
      <c r="L38" s="4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A181-60F3-4D5A-AC8A-CD65D9BA7740}">
  <dimension ref="B1:P112"/>
  <sheetViews>
    <sheetView workbookViewId="0">
      <selection activeCell="J99" sqref="J99"/>
    </sheetView>
  </sheetViews>
  <sheetFormatPr defaultRowHeight="14.4" x14ac:dyDescent="0.3"/>
  <cols>
    <col min="2" max="2" width="21.77734375" customWidth="1"/>
    <col min="3" max="13" width="5.109375" customWidth="1"/>
    <col min="14" max="14" width="18" customWidth="1"/>
    <col min="15" max="15" width="23.6640625" customWidth="1"/>
    <col min="16" max="16" width="23.109375" customWidth="1"/>
  </cols>
  <sheetData>
    <row r="1" spans="2:7" x14ac:dyDescent="0.3">
      <c r="B1" t="s">
        <v>57</v>
      </c>
      <c r="C1" t="s">
        <v>58</v>
      </c>
      <c r="D1" t="s">
        <v>59</v>
      </c>
      <c r="E1" t="s">
        <v>151</v>
      </c>
      <c r="F1" t="s">
        <v>152</v>
      </c>
      <c r="G1" t="s">
        <v>62</v>
      </c>
    </row>
    <row r="2" spans="2:7" x14ac:dyDescent="0.3">
      <c r="B2" t="s">
        <v>153</v>
      </c>
      <c r="C2" t="s">
        <v>63</v>
      </c>
      <c r="D2" t="s">
        <v>72</v>
      </c>
      <c r="E2" t="s">
        <v>73</v>
      </c>
      <c r="F2" t="s">
        <v>66</v>
      </c>
      <c r="G2">
        <v>0</v>
      </c>
    </row>
    <row r="3" spans="2:7" hidden="1" x14ac:dyDescent="0.3">
      <c r="B3" t="s">
        <v>154</v>
      </c>
      <c r="C3" t="s">
        <v>155</v>
      </c>
      <c r="D3" t="s">
        <v>78</v>
      </c>
      <c r="E3" t="s">
        <v>156</v>
      </c>
      <c r="F3" t="s">
        <v>66</v>
      </c>
      <c r="G3">
        <v>6</v>
      </c>
    </row>
    <row r="4" spans="2:7" hidden="1" x14ac:dyDescent="0.3">
      <c r="B4" t="s">
        <v>157</v>
      </c>
      <c r="C4" t="s">
        <v>158</v>
      </c>
      <c r="D4" t="s">
        <v>78</v>
      </c>
      <c r="E4" t="s">
        <v>159</v>
      </c>
      <c r="F4" t="s">
        <v>66</v>
      </c>
      <c r="G4">
        <v>7</v>
      </c>
    </row>
    <row r="5" spans="2:7" hidden="1" x14ac:dyDescent="0.3">
      <c r="B5" t="s">
        <v>160</v>
      </c>
      <c r="C5" t="s">
        <v>63</v>
      </c>
      <c r="D5" t="s">
        <v>75</v>
      </c>
      <c r="E5" t="s">
        <v>161</v>
      </c>
      <c r="F5" t="s">
        <v>66</v>
      </c>
      <c r="G5">
        <v>7</v>
      </c>
    </row>
    <row r="6" spans="2:7" x14ac:dyDescent="0.3">
      <c r="B6" t="s">
        <v>162</v>
      </c>
      <c r="C6" t="s">
        <v>116</v>
      </c>
      <c r="D6" t="s">
        <v>108</v>
      </c>
      <c r="E6" t="s">
        <v>91</v>
      </c>
      <c r="F6" t="s">
        <v>66</v>
      </c>
      <c r="G6">
        <v>0</v>
      </c>
    </row>
    <row r="7" spans="2:7" hidden="1" x14ac:dyDescent="0.3">
      <c r="B7" t="s">
        <v>163</v>
      </c>
      <c r="C7" t="s">
        <v>63</v>
      </c>
      <c r="D7" t="s">
        <v>85</v>
      </c>
      <c r="E7" t="s">
        <v>83</v>
      </c>
      <c r="F7" t="s">
        <v>66</v>
      </c>
      <c r="G7">
        <v>1</v>
      </c>
    </row>
    <row r="8" spans="2:7" x14ac:dyDescent="0.3">
      <c r="B8" t="s">
        <v>164</v>
      </c>
      <c r="C8" t="s">
        <v>64</v>
      </c>
      <c r="D8" t="s">
        <v>82</v>
      </c>
      <c r="E8" t="s">
        <v>83</v>
      </c>
      <c r="F8" t="s">
        <v>66</v>
      </c>
      <c r="G8">
        <v>0</v>
      </c>
    </row>
    <row r="9" spans="2:7" hidden="1" x14ac:dyDescent="0.3">
      <c r="B9" t="s">
        <v>165</v>
      </c>
      <c r="C9" t="s">
        <v>63</v>
      </c>
      <c r="D9" t="s">
        <v>98</v>
      </c>
      <c r="E9" t="s">
        <v>99</v>
      </c>
      <c r="F9" t="s">
        <v>66</v>
      </c>
      <c r="G9">
        <v>3</v>
      </c>
    </row>
    <row r="10" spans="2:7" hidden="1" x14ac:dyDescent="0.3">
      <c r="B10" t="s">
        <v>167</v>
      </c>
      <c r="C10" t="s">
        <v>63</v>
      </c>
      <c r="D10" t="s">
        <v>103</v>
      </c>
      <c r="E10" t="s">
        <v>80</v>
      </c>
      <c r="F10" t="s">
        <v>66</v>
      </c>
      <c r="G10">
        <v>2</v>
      </c>
    </row>
    <row r="11" spans="2:7" hidden="1" x14ac:dyDescent="0.3">
      <c r="B11" t="s">
        <v>168</v>
      </c>
      <c r="C11" t="s">
        <v>119</v>
      </c>
      <c r="D11" t="s">
        <v>90</v>
      </c>
      <c r="E11" t="s">
        <v>65</v>
      </c>
      <c r="F11" t="s">
        <v>66</v>
      </c>
      <c r="G11">
        <v>3</v>
      </c>
    </row>
    <row r="12" spans="2:7" hidden="1" x14ac:dyDescent="0.3">
      <c r="B12" t="s">
        <v>169</v>
      </c>
      <c r="C12" t="s">
        <v>170</v>
      </c>
      <c r="D12" t="s">
        <v>78</v>
      </c>
      <c r="E12" t="s">
        <v>66</v>
      </c>
      <c r="F12" t="s">
        <v>66</v>
      </c>
      <c r="G12">
        <v>5</v>
      </c>
    </row>
    <row r="13" spans="2:7" hidden="1" x14ac:dyDescent="0.3">
      <c r="B13" t="s">
        <v>172</v>
      </c>
      <c r="C13" t="s">
        <v>173</v>
      </c>
      <c r="D13" t="s">
        <v>90</v>
      </c>
      <c r="E13" t="s">
        <v>174</v>
      </c>
      <c r="F13" t="s">
        <v>66</v>
      </c>
      <c r="G13">
        <v>2</v>
      </c>
    </row>
    <row r="14" spans="2:7" hidden="1" x14ac:dyDescent="0.3">
      <c r="B14" t="s">
        <v>175</v>
      </c>
      <c r="C14" t="s">
        <v>173</v>
      </c>
      <c r="D14" t="s">
        <v>119</v>
      </c>
      <c r="E14" t="s">
        <v>91</v>
      </c>
      <c r="F14" t="s">
        <v>66</v>
      </c>
      <c r="G14">
        <v>1</v>
      </c>
    </row>
    <row r="15" spans="2:7" x14ac:dyDescent="0.3">
      <c r="B15" t="s">
        <v>176</v>
      </c>
      <c r="C15" t="s">
        <v>78</v>
      </c>
      <c r="D15" t="s">
        <v>87</v>
      </c>
      <c r="E15" t="s">
        <v>88</v>
      </c>
      <c r="F15" t="s">
        <v>66</v>
      </c>
      <c r="G15">
        <v>0</v>
      </c>
    </row>
    <row r="16" spans="2:7" hidden="1" x14ac:dyDescent="0.3">
      <c r="B16" t="s">
        <v>177</v>
      </c>
      <c r="C16" t="s">
        <v>63</v>
      </c>
      <c r="D16" t="s">
        <v>119</v>
      </c>
      <c r="E16" t="s">
        <v>174</v>
      </c>
      <c r="F16" t="s">
        <v>66</v>
      </c>
      <c r="G16">
        <v>6</v>
      </c>
    </row>
    <row r="17" spans="2:7" hidden="1" x14ac:dyDescent="0.3">
      <c r="B17" t="s">
        <v>178</v>
      </c>
      <c r="C17" t="s">
        <v>63</v>
      </c>
      <c r="D17" t="s">
        <v>105</v>
      </c>
      <c r="E17" t="s">
        <v>106</v>
      </c>
      <c r="F17" t="s">
        <v>66</v>
      </c>
      <c r="G17">
        <v>5</v>
      </c>
    </row>
    <row r="18" spans="2:7" hidden="1" x14ac:dyDescent="0.3">
      <c r="B18" t="s">
        <v>179</v>
      </c>
      <c r="C18" t="s">
        <v>63</v>
      </c>
      <c r="D18" t="s">
        <v>128</v>
      </c>
      <c r="E18" t="s">
        <v>123</v>
      </c>
      <c r="F18" t="s">
        <v>66</v>
      </c>
      <c r="G18">
        <v>4</v>
      </c>
    </row>
    <row r="19" spans="2:7" hidden="1" x14ac:dyDescent="0.3">
      <c r="B19" t="s">
        <v>180</v>
      </c>
      <c r="C19" t="s">
        <v>155</v>
      </c>
      <c r="D19" t="s">
        <v>75</v>
      </c>
      <c r="E19" t="s">
        <v>181</v>
      </c>
      <c r="F19" t="s">
        <v>66</v>
      </c>
      <c r="G19">
        <v>4</v>
      </c>
    </row>
    <row r="20" spans="2:7" x14ac:dyDescent="0.3">
      <c r="B20" t="s">
        <v>182</v>
      </c>
      <c r="C20" t="s">
        <v>125</v>
      </c>
      <c r="D20" t="s">
        <v>125</v>
      </c>
      <c r="E20" t="s">
        <v>109</v>
      </c>
      <c r="F20" t="s">
        <v>66</v>
      </c>
      <c r="G20">
        <v>0</v>
      </c>
    </row>
    <row r="21" spans="2:7" hidden="1" x14ac:dyDescent="0.3">
      <c r="B21" t="s">
        <v>183</v>
      </c>
      <c r="C21" t="s">
        <v>108</v>
      </c>
      <c r="D21" t="s">
        <v>78</v>
      </c>
      <c r="E21" t="s">
        <v>184</v>
      </c>
      <c r="F21" t="s">
        <v>66</v>
      </c>
      <c r="G21">
        <v>6</v>
      </c>
    </row>
    <row r="22" spans="2:7" hidden="1" x14ac:dyDescent="0.3">
      <c r="B22" t="s">
        <v>185</v>
      </c>
      <c r="C22" t="s">
        <v>63</v>
      </c>
      <c r="D22" t="s">
        <v>101</v>
      </c>
      <c r="E22" t="s">
        <v>88</v>
      </c>
      <c r="F22" t="s">
        <v>66</v>
      </c>
      <c r="G22">
        <v>1</v>
      </c>
    </row>
    <row r="23" spans="2:7" hidden="1" x14ac:dyDescent="0.3">
      <c r="B23" t="s">
        <v>186</v>
      </c>
      <c r="C23" t="s">
        <v>187</v>
      </c>
      <c r="D23" t="s">
        <v>108</v>
      </c>
      <c r="E23" t="s">
        <v>91</v>
      </c>
      <c r="F23" t="s">
        <v>66</v>
      </c>
      <c r="G23">
        <v>1</v>
      </c>
    </row>
    <row r="24" spans="2:7" hidden="1" x14ac:dyDescent="0.3">
      <c r="B24" t="s">
        <v>188</v>
      </c>
      <c r="C24" t="s">
        <v>75</v>
      </c>
      <c r="D24" t="s">
        <v>75</v>
      </c>
      <c r="E24" t="s">
        <v>189</v>
      </c>
      <c r="F24" t="s">
        <v>66</v>
      </c>
      <c r="G24">
        <v>5</v>
      </c>
    </row>
    <row r="25" spans="2:7" hidden="1" x14ac:dyDescent="0.3">
      <c r="B25" t="s">
        <v>190</v>
      </c>
      <c r="C25" t="s">
        <v>105</v>
      </c>
      <c r="D25" t="s">
        <v>125</v>
      </c>
      <c r="E25" t="s">
        <v>191</v>
      </c>
      <c r="F25" t="s">
        <v>66</v>
      </c>
      <c r="G25">
        <v>1</v>
      </c>
    </row>
    <row r="26" spans="2:7" hidden="1" x14ac:dyDescent="0.3">
      <c r="B26" t="s">
        <v>192</v>
      </c>
      <c r="C26" t="s">
        <v>64</v>
      </c>
      <c r="D26" t="s">
        <v>114</v>
      </c>
      <c r="E26" t="s">
        <v>88</v>
      </c>
      <c r="F26" t="s">
        <v>66</v>
      </c>
      <c r="G26">
        <v>1</v>
      </c>
    </row>
    <row r="27" spans="2:7" x14ac:dyDescent="0.3">
      <c r="B27" t="s">
        <v>193</v>
      </c>
      <c r="C27" t="s">
        <v>170</v>
      </c>
      <c r="D27" t="s">
        <v>116</v>
      </c>
      <c r="E27" t="s">
        <v>191</v>
      </c>
      <c r="F27" t="s">
        <v>66</v>
      </c>
      <c r="G27">
        <v>0</v>
      </c>
    </row>
    <row r="28" spans="2:7" hidden="1" x14ac:dyDescent="0.3">
      <c r="B28" t="s">
        <v>194</v>
      </c>
      <c r="C28" t="s">
        <v>166</v>
      </c>
      <c r="D28" t="s">
        <v>133</v>
      </c>
      <c r="E28" t="s">
        <v>112</v>
      </c>
      <c r="F28" t="s">
        <v>66</v>
      </c>
      <c r="G28">
        <v>1</v>
      </c>
    </row>
    <row r="29" spans="2:7" x14ac:dyDescent="0.3">
      <c r="B29" t="s">
        <v>195</v>
      </c>
      <c r="C29" t="s">
        <v>108</v>
      </c>
      <c r="D29" t="s">
        <v>196</v>
      </c>
      <c r="E29" t="s">
        <v>117</v>
      </c>
      <c r="F29" t="s">
        <v>66</v>
      </c>
      <c r="G29">
        <v>0</v>
      </c>
    </row>
    <row r="30" spans="2:7" hidden="1" x14ac:dyDescent="0.3">
      <c r="B30" t="s">
        <v>197</v>
      </c>
      <c r="C30" t="s">
        <v>158</v>
      </c>
      <c r="D30" t="s">
        <v>119</v>
      </c>
      <c r="E30" t="s">
        <v>181</v>
      </c>
      <c r="F30" t="s">
        <v>66</v>
      </c>
      <c r="G30">
        <v>2</v>
      </c>
    </row>
    <row r="31" spans="2:7" hidden="1" x14ac:dyDescent="0.3">
      <c r="B31" t="s">
        <v>198</v>
      </c>
      <c r="C31" t="s">
        <v>64</v>
      </c>
      <c r="D31" t="s">
        <v>75</v>
      </c>
      <c r="E31" t="s">
        <v>76</v>
      </c>
      <c r="F31" t="s">
        <v>66</v>
      </c>
      <c r="G31">
        <v>6</v>
      </c>
    </row>
    <row r="32" spans="2:7" hidden="1" x14ac:dyDescent="0.3">
      <c r="B32" t="s">
        <v>199</v>
      </c>
      <c r="C32" t="s">
        <v>90</v>
      </c>
      <c r="D32" t="s">
        <v>105</v>
      </c>
      <c r="E32" t="s">
        <v>200</v>
      </c>
      <c r="F32" t="s">
        <v>66</v>
      </c>
      <c r="G32">
        <v>2</v>
      </c>
    </row>
    <row r="33" spans="2:7" hidden="1" x14ac:dyDescent="0.3">
      <c r="B33" t="s">
        <v>201</v>
      </c>
      <c r="C33" t="s">
        <v>171</v>
      </c>
      <c r="D33" t="s">
        <v>90</v>
      </c>
      <c r="E33" t="s">
        <v>200</v>
      </c>
      <c r="F33" t="s">
        <v>66</v>
      </c>
      <c r="G33">
        <v>4</v>
      </c>
    </row>
    <row r="34" spans="2:7" hidden="1" x14ac:dyDescent="0.3">
      <c r="B34" t="s">
        <v>202</v>
      </c>
      <c r="C34" t="s">
        <v>119</v>
      </c>
      <c r="D34" t="s">
        <v>125</v>
      </c>
      <c r="E34" t="s">
        <v>120</v>
      </c>
      <c r="F34" t="s">
        <v>66</v>
      </c>
      <c r="G34">
        <v>1</v>
      </c>
    </row>
    <row r="35" spans="2:7" hidden="1" x14ac:dyDescent="0.3">
      <c r="B35" t="s">
        <v>203</v>
      </c>
      <c r="C35" t="s">
        <v>155</v>
      </c>
      <c r="D35" t="s">
        <v>105</v>
      </c>
      <c r="E35" t="s">
        <v>109</v>
      </c>
      <c r="F35" t="s">
        <v>66</v>
      </c>
      <c r="G35">
        <v>1</v>
      </c>
    </row>
    <row r="36" spans="2:7" hidden="1" x14ac:dyDescent="0.3">
      <c r="B36" t="s">
        <v>204</v>
      </c>
      <c r="C36" t="s">
        <v>166</v>
      </c>
      <c r="D36" t="s">
        <v>93</v>
      </c>
      <c r="E36" t="s">
        <v>131</v>
      </c>
      <c r="F36" t="s">
        <v>66</v>
      </c>
      <c r="G36">
        <v>1</v>
      </c>
    </row>
    <row r="37" spans="2:7" hidden="1" x14ac:dyDescent="0.3">
      <c r="B37" t="s">
        <v>205</v>
      </c>
      <c r="C37" t="s">
        <v>64</v>
      </c>
      <c r="D37" t="s">
        <v>90</v>
      </c>
      <c r="E37" t="s">
        <v>206</v>
      </c>
      <c r="F37" t="s">
        <v>66</v>
      </c>
      <c r="G37">
        <v>5</v>
      </c>
    </row>
    <row r="38" spans="2:7" hidden="1" x14ac:dyDescent="0.3">
      <c r="B38" t="s">
        <v>207</v>
      </c>
      <c r="C38" t="s">
        <v>171</v>
      </c>
      <c r="D38" t="s">
        <v>122</v>
      </c>
      <c r="E38" t="s">
        <v>123</v>
      </c>
      <c r="F38" t="s">
        <v>66</v>
      </c>
      <c r="G38">
        <v>2</v>
      </c>
    </row>
    <row r="39" spans="2:7" hidden="1" x14ac:dyDescent="0.3">
      <c r="B39" t="s">
        <v>208</v>
      </c>
      <c r="C39" t="s">
        <v>63</v>
      </c>
      <c r="D39" t="s">
        <v>105</v>
      </c>
      <c r="E39" t="s">
        <v>91</v>
      </c>
      <c r="F39" t="s">
        <v>66</v>
      </c>
      <c r="G39">
        <v>4</v>
      </c>
    </row>
    <row r="40" spans="2:7" hidden="1" x14ac:dyDescent="0.3">
      <c r="B40" t="s">
        <v>209</v>
      </c>
      <c r="C40" t="s">
        <v>75</v>
      </c>
      <c r="D40" t="s">
        <v>125</v>
      </c>
      <c r="E40" t="s">
        <v>120</v>
      </c>
      <c r="F40" t="s">
        <v>66</v>
      </c>
      <c r="G40">
        <v>2</v>
      </c>
    </row>
    <row r="41" spans="2:7" hidden="1" x14ac:dyDescent="0.3">
      <c r="B41" t="s">
        <v>210</v>
      </c>
      <c r="C41" t="s">
        <v>90</v>
      </c>
      <c r="D41" t="s">
        <v>119</v>
      </c>
      <c r="E41" t="s">
        <v>181</v>
      </c>
      <c r="F41" t="s">
        <v>66</v>
      </c>
      <c r="G41">
        <v>3</v>
      </c>
    </row>
    <row r="42" spans="2:7" hidden="1" x14ac:dyDescent="0.3">
      <c r="B42" t="s">
        <v>211</v>
      </c>
      <c r="C42" t="s">
        <v>64</v>
      </c>
      <c r="D42" t="s">
        <v>128</v>
      </c>
      <c r="E42" t="s">
        <v>109</v>
      </c>
      <c r="F42" t="s">
        <v>66</v>
      </c>
      <c r="G42">
        <v>2</v>
      </c>
    </row>
    <row r="43" spans="2:7" hidden="1" x14ac:dyDescent="0.3">
      <c r="B43" t="s">
        <v>212</v>
      </c>
      <c r="C43" t="s">
        <v>78</v>
      </c>
      <c r="D43" t="s">
        <v>122</v>
      </c>
      <c r="E43" t="s">
        <v>94</v>
      </c>
      <c r="F43" t="s">
        <v>66</v>
      </c>
      <c r="G43">
        <v>3</v>
      </c>
    </row>
    <row r="44" spans="2:7" x14ac:dyDescent="0.3">
      <c r="B44" t="s">
        <v>213</v>
      </c>
      <c r="C44" t="s">
        <v>90</v>
      </c>
      <c r="D44" t="s">
        <v>214</v>
      </c>
      <c r="E44" t="s">
        <v>131</v>
      </c>
      <c r="F44" t="s">
        <v>66</v>
      </c>
      <c r="G44">
        <v>0</v>
      </c>
    </row>
    <row r="45" spans="2:7" hidden="1" x14ac:dyDescent="0.3">
      <c r="B45" t="s">
        <v>215</v>
      </c>
      <c r="C45" t="s">
        <v>63</v>
      </c>
      <c r="D45" t="s">
        <v>133</v>
      </c>
      <c r="E45" t="s">
        <v>131</v>
      </c>
      <c r="F45" t="s">
        <v>66</v>
      </c>
      <c r="G45">
        <v>3</v>
      </c>
    </row>
    <row r="46" spans="2:7" x14ac:dyDescent="0.3">
      <c r="B46" t="s">
        <v>216</v>
      </c>
      <c r="C46" t="s">
        <v>166</v>
      </c>
      <c r="D46" t="s">
        <v>79</v>
      </c>
      <c r="E46" t="s">
        <v>80</v>
      </c>
      <c r="F46" t="s">
        <v>66</v>
      </c>
      <c r="G46">
        <v>0</v>
      </c>
    </row>
    <row r="47" spans="2:7" hidden="1" x14ac:dyDescent="0.3">
      <c r="B47" t="s">
        <v>217</v>
      </c>
      <c r="C47" t="s">
        <v>64</v>
      </c>
      <c r="D47" t="s">
        <v>218</v>
      </c>
      <c r="E47" t="s">
        <v>131</v>
      </c>
      <c r="F47" t="s">
        <v>66</v>
      </c>
      <c r="G47">
        <v>1</v>
      </c>
    </row>
    <row r="48" spans="2:7" hidden="1" x14ac:dyDescent="0.3">
      <c r="B48" t="s">
        <v>219</v>
      </c>
      <c r="C48" t="s">
        <v>63</v>
      </c>
      <c r="D48" t="s">
        <v>111</v>
      </c>
      <c r="E48" t="s">
        <v>112</v>
      </c>
      <c r="F48" t="s">
        <v>66</v>
      </c>
      <c r="G48">
        <v>2</v>
      </c>
    </row>
    <row r="49" spans="2:7" hidden="1" x14ac:dyDescent="0.3">
      <c r="B49" t="s">
        <v>220</v>
      </c>
      <c r="C49" t="s">
        <v>63</v>
      </c>
      <c r="D49" t="s">
        <v>108</v>
      </c>
      <c r="E49" t="s">
        <v>91</v>
      </c>
      <c r="F49" t="s">
        <v>66</v>
      </c>
      <c r="G49">
        <v>5</v>
      </c>
    </row>
    <row r="50" spans="2:7" x14ac:dyDescent="0.3">
      <c r="B50" t="s">
        <v>221</v>
      </c>
      <c r="C50" t="s">
        <v>155</v>
      </c>
      <c r="D50" t="s">
        <v>128</v>
      </c>
      <c r="E50" t="s">
        <v>123</v>
      </c>
      <c r="F50" t="s">
        <v>66</v>
      </c>
      <c r="G50">
        <v>0</v>
      </c>
    </row>
    <row r="51" spans="2:7" hidden="1" x14ac:dyDescent="0.3">
      <c r="B51" t="s">
        <v>222</v>
      </c>
      <c r="C51" t="s">
        <v>63</v>
      </c>
      <c r="D51" t="s">
        <v>79</v>
      </c>
      <c r="E51" t="s">
        <v>191</v>
      </c>
      <c r="F51" t="s">
        <v>66</v>
      </c>
      <c r="G51">
        <v>2</v>
      </c>
    </row>
    <row r="52" spans="2:7" x14ac:dyDescent="0.3">
      <c r="B52" t="s">
        <v>223</v>
      </c>
      <c r="C52" t="s">
        <v>75</v>
      </c>
      <c r="D52" t="s">
        <v>135</v>
      </c>
      <c r="E52" t="s">
        <v>99</v>
      </c>
      <c r="F52" t="s">
        <v>66</v>
      </c>
      <c r="G52">
        <v>0</v>
      </c>
    </row>
    <row r="53" spans="2:7" hidden="1" x14ac:dyDescent="0.3">
      <c r="B53" t="s">
        <v>71</v>
      </c>
      <c r="C53" t="s">
        <v>63</v>
      </c>
      <c r="D53" t="s">
        <v>90</v>
      </c>
      <c r="E53" t="s">
        <v>66</v>
      </c>
      <c r="F53" t="s">
        <v>66</v>
      </c>
      <c r="G53">
        <v>6</v>
      </c>
    </row>
    <row r="54" spans="2:7" hidden="1" x14ac:dyDescent="0.3">
      <c r="B54" t="s">
        <v>224</v>
      </c>
      <c r="C54" t="s">
        <v>63</v>
      </c>
      <c r="D54" t="s">
        <v>125</v>
      </c>
      <c r="E54" t="s">
        <v>126</v>
      </c>
      <c r="F54" t="s">
        <v>66</v>
      </c>
      <c r="G54">
        <v>4</v>
      </c>
    </row>
    <row r="55" spans="2:7" hidden="1" x14ac:dyDescent="0.3">
      <c r="B55" t="s">
        <v>225</v>
      </c>
      <c r="C55" t="s">
        <v>64</v>
      </c>
      <c r="D55" t="s">
        <v>122</v>
      </c>
      <c r="E55" t="s">
        <v>94</v>
      </c>
      <c r="F55" t="s">
        <v>66</v>
      </c>
      <c r="G55">
        <v>4</v>
      </c>
    </row>
    <row r="56" spans="2:7" hidden="1" x14ac:dyDescent="0.3">
      <c r="B56" t="s">
        <v>226</v>
      </c>
      <c r="C56" t="s">
        <v>64</v>
      </c>
      <c r="D56" t="s">
        <v>116</v>
      </c>
      <c r="E56" t="s">
        <v>117</v>
      </c>
      <c r="F56" t="s">
        <v>66</v>
      </c>
      <c r="G56">
        <v>3</v>
      </c>
    </row>
    <row r="57" spans="2:7" hidden="1" x14ac:dyDescent="0.3">
      <c r="B57" t="s">
        <v>227</v>
      </c>
      <c r="C57" t="s">
        <v>75</v>
      </c>
      <c r="D57" t="s">
        <v>122</v>
      </c>
      <c r="E57" t="s">
        <v>106</v>
      </c>
      <c r="F57" t="s">
        <v>66</v>
      </c>
      <c r="G57">
        <v>1</v>
      </c>
    </row>
    <row r="58" spans="2:7" hidden="1" x14ac:dyDescent="0.3">
      <c r="B58" t="s">
        <v>228</v>
      </c>
      <c r="C58" t="s">
        <v>75</v>
      </c>
      <c r="D58" t="s">
        <v>90</v>
      </c>
      <c r="E58" t="s">
        <v>161</v>
      </c>
      <c r="F58" t="s">
        <v>66</v>
      </c>
      <c r="G58">
        <v>4</v>
      </c>
    </row>
    <row r="59" spans="2:7" hidden="1" x14ac:dyDescent="0.3">
      <c r="B59" t="s">
        <v>229</v>
      </c>
      <c r="C59" t="s">
        <v>78</v>
      </c>
      <c r="D59" t="s">
        <v>105</v>
      </c>
      <c r="E59" t="s">
        <v>120</v>
      </c>
      <c r="F59" t="s">
        <v>66</v>
      </c>
      <c r="G59">
        <v>3</v>
      </c>
    </row>
    <row r="60" spans="2:7" hidden="1" x14ac:dyDescent="0.3">
      <c r="B60" t="s">
        <v>230</v>
      </c>
      <c r="C60" t="s">
        <v>63</v>
      </c>
      <c r="D60" t="s">
        <v>119</v>
      </c>
      <c r="E60" t="s">
        <v>65</v>
      </c>
      <c r="F60" t="s">
        <v>66</v>
      </c>
      <c r="G60">
        <v>5</v>
      </c>
    </row>
    <row r="61" spans="2:7" hidden="1" x14ac:dyDescent="0.3">
      <c r="B61" t="s">
        <v>231</v>
      </c>
      <c r="C61" t="s">
        <v>78</v>
      </c>
      <c r="D61" t="s">
        <v>108</v>
      </c>
      <c r="E61" t="s">
        <v>232</v>
      </c>
      <c r="F61" t="s">
        <v>66</v>
      </c>
      <c r="G61">
        <v>3</v>
      </c>
    </row>
    <row r="62" spans="2:7" hidden="1" x14ac:dyDescent="0.3">
      <c r="B62" t="s">
        <v>233</v>
      </c>
      <c r="C62" t="s">
        <v>171</v>
      </c>
      <c r="D62" t="s">
        <v>75</v>
      </c>
      <c r="E62" t="s">
        <v>232</v>
      </c>
      <c r="F62" t="s">
        <v>66</v>
      </c>
      <c r="G62">
        <v>5</v>
      </c>
    </row>
    <row r="63" spans="2:7" hidden="1" x14ac:dyDescent="0.3">
      <c r="B63" t="s">
        <v>234</v>
      </c>
      <c r="C63" t="s">
        <v>63</v>
      </c>
      <c r="D63" t="s">
        <v>128</v>
      </c>
      <c r="E63" t="s">
        <v>109</v>
      </c>
      <c r="F63" t="s">
        <v>66</v>
      </c>
      <c r="G63">
        <v>3</v>
      </c>
    </row>
    <row r="64" spans="2:7" hidden="1" x14ac:dyDescent="0.3">
      <c r="B64" t="s">
        <v>235</v>
      </c>
      <c r="C64" t="s">
        <v>64</v>
      </c>
      <c r="D64" t="s">
        <v>128</v>
      </c>
      <c r="E64" t="s">
        <v>129</v>
      </c>
      <c r="F64" t="s">
        <v>66</v>
      </c>
      <c r="G64">
        <v>3</v>
      </c>
    </row>
    <row r="65" spans="2:7" hidden="1" x14ac:dyDescent="0.3">
      <c r="B65" t="s">
        <v>236</v>
      </c>
      <c r="C65" t="s">
        <v>78</v>
      </c>
      <c r="D65" t="s">
        <v>214</v>
      </c>
      <c r="E65" t="s">
        <v>129</v>
      </c>
      <c r="F65" t="s">
        <v>66</v>
      </c>
      <c r="G65">
        <v>1</v>
      </c>
    </row>
    <row r="66" spans="2:7" hidden="1" x14ac:dyDescent="0.3">
      <c r="B66" t="s">
        <v>237</v>
      </c>
      <c r="C66" t="s">
        <v>64</v>
      </c>
      <c r="D66" t="s">
        <v>93</v>
      </c>
      <c r="E66" t="s">
        <v>94</v>
      </c>
      <c r="F66" t="s">
        <v>66</v>
      </c>
      <c r="G66">
        <v>2</v>
      </c>
    </row>
    <row r="67" spans="2:7" hidden="1" x14ac:dyDescent="0.3">
      <c r="B67" t="s">
        <v>74</v>
      </c>
      <c r="C67" t="s">
        <v>64</v>
      </c>
      <c r="D67" t="s">
        <v>133</v>
      </c>
      <c r="E67" t="s">
        <v>112</v>
      </c>
      <c r="F67" t="s">
        <v>66</v>
      </c>
      <c r="G67">
        <v>3</v>
      </c>
    </row>
    <row r="68" spans="2:7" hidden="1" x14ac:dyDescent="0.3">
      <c r="B68" t="s">
        <v>77</v>
      </c>
      <c r="C68" t="s">
        <v>64</v>
      </c>
      <c r="D68" t="s">
        <v>125</v>
      </c>
      <c r="E68" t="s">
        <v>126</v>
      </c>
      <c r="F68" t="s">
        <v>66</v>
      </c>
      <c r="G68">
        <v>3</v>
      </c>
    </row>
    <row r="69" spans="2:7" hidden="1" x14ac:dyDescent="0.3">
      <c r="B69" t="s">
        <v>81</v>
      </c>
      <c r="C69" t="s">
        <v>63</v>
      </c>
      <c r="D69" t="s">
        <v>238</v>
      </c>
      <c r="E69" t="s">
        <v>129</v>
      </c>
      <c r="F69" t="s">
        <v>66</v>
      </c>
      <c r="G69">
        <v>2</v>
      </c>
    </row>
    <row r="70" spans="2:7" hidden="1" x14ac:dyDescent="0.3">
      <c r="B70" t="s">
        <v>84</v>
      </c>
      <c r="C70" t="s">
        <v>64</v>
      </c>
      <c r="D70" t="s">
        <v>96</v>
      </c>
      <c r="E70" t="s">
        <v>80</v>
      </c>
      <c r="F70" t="s">
        <v>66</v>
      </c>
      <c r="G70">
        <v>1</v>
      </c>
    </row>
    <row r="71" spans="2:7" hidden="1" x14ac:dyDescent="0.3">
      <c r="B71" t="s">
        <v>86</v>
      </c>
      <c r="C71" t="s">
        <v>63</v>
      </c>
      <c r="D71" t="s">
        <v>93</v>
      </c>
      <c r="E71" t="s">
        <v>94</v>
      </c>
      <c r="F71" t="s">
        <v>66</v>
      </c>
      <c r="G71">
        <v>3</v>
      </c>
    </row>
    <row r="72" spans="2:7" hidden="1" x14ac:dyDescent="0.3">
      <c r="B72" t="s">
        <v>89</v>
      </c>
      <c r="C72" t="s">
        <v>90</v>
      </c>
      <c r="D72" t="s">
        <v>122</v>
      </c>
      <c r="E72" t="s">
        <v>123</v>
      </c>
      <c r="F72" t="s">
        <v>66</v>
      </c>
      <c r="G72">
        <v>1</v>
      </c>
    </row>
    <row r="73" spans="2:7" hidden="1" x14ac:dyDescent="0.3">
      <c r="B73" t="s">
        <v>92</v>
      </c>
      <c r="C73" t="s">
        <v>171</v>
      </c>
      <c r="D73" t="s">
        <v>196</v>
      </c>
      <c r="E73" t="s">
        <v>117</v>
      </c>
      <c r="F73" t="s">
        <v>66</v>
      </c>
      <c r="G73">
        <v>1</v>
      </c>
    </row>
    <row r="74" spans="2:7" hidden="1" x14ac:dyDescent="0.3">
      <c r="B74" t="s">
        <v>95</v>
      </c>
      <c r="C74" t="s">
        <v>64</v>
      </c>
      <c r="D74" t="s">
        <v>135</v>
      </c>
      <c r="E74" t="s">
        <v>99</v>
      </c>
      <c r="F74" t="s">
        <v>66</v>
      </c>
      <c r="G74">
        <v>2</v>
      </c>
    </row>
    <row r="75" spans="2:7" hidden="1" x14ac:dyDescent="0.3">
      <c r="B75" t="s">
        <v>97</v>
      </c>
      <c r="C75" t="s">
        <v>64</v>
      </c>
      <c r="D75" t="s">
        <v>214</v>
      </c>
      <c r="E75" t="s">
        <v>129</v>
      </c>
      <c r="F75" t="s">
        <v>66</v>
      </c>
      <c r="G75">
        <v>2</v>
      </c>
    </row>
    <row r="76" spans="2:7" hidden="1" x14ac:dyDescent="0.3">
      <c r="B76" t="s">
        <v>100</v>
      </c>
      <c r="C76" t="s">
        <v>155</v>
      </c>
      <c r="D76" t="s">
        <v>90</v>
      </c>
      <c r="E76" t="s">
        <v>174</v>
      </c>
      <c r="F76" t="s">
        <v>66</v>
      </c>
      <c r="G76">
        <v>3</v>
      </c>
    </row>
    <row r="77" spans="2:7" hidden="1" x14ac:dyDescent="0.3">
      <c r="B77" t="s">
        <v>102</v>
      </c>
      <c r="C77" t="s">
        <v>119</v>
      </c>
      <c r="D77" t="s">
        <v>105</v>
      </c>
      <c r="E77" t="s">
        <v>109</v>
      </c>
      <c r="F77" t="s">
        <v>66</v>
      </c>
      <c r="G77">
        <v>2</v>
      </c>
    </row>
    <row r="78" spans="2:7" hidden="1" x14ac:dyDescent="0.3">
      <c r="B78" t="s">
        <v>104</v>
      </c>
      <c r="C78" t="s">
        <v>108</v>
      </c>
      <c r="D78" t="s">
        <v>119</v>
      </c>
      <c r="E78" t="s">
        <v>91</v>
      </c>
      <c r="F78" t="s">
        <v>66</v>
      </c>
      <c r="G78">
        <v>2</v>
      </c>
    </row>
    <row r="79" spans="2:7" hidden="1" x14ac:dyDescent="0.3">
      <c r="B79" t="s">
        <v>107</v>
      </c>
      <c r="C79" t="s">
        <v>166</v>
      </c>
      <c r="D79" t="s">
        <v>125</v>
      </c>
      <c r="E79" t="s">
        <v>91</v>
      </c>
      <c r="F79" t="s">
        <v>66</v>
      </c>
      <c r="G79">
        <v>2</v>
      </c>
    </row>
    <row r="80" spans="2:7" hidden="1" x14ac:dyDescent="0.3">
      <c r="B80" t="s">
        <v>110</v>
      </c>
      <c r="C80" t="s">
        <v>171</v>
      </c>
      <c r="D80" t="s">
        <v>119</v>
      </c>
      <c r="E80" t="s">
        <v>200</v>
      </c>
      <c r="F80" t="s">
        <v>66</v>
      </c>
      <c r="G80">
        <v>3</v>
      </c>
    </row>
    <row r="81" spans="2:16" hidden="1" x14ac:dyDescent="0.3">
      <c r="B81" t="s">
        <v>113</v>
      </c>
      <c r="C81" t="s">
        <v>90</v>
      </c>
      <c r="D81" t="s">
        <v>119</v>
      </c>
      <c r="E81" t="s">
        <v>91</v>
      </c>
      <c r="F81" t="s">
        <v>66</v>
      </c>
      <c r="G81">
        <v>4</v>
      </c>
    </row>
    <row r="82" spans="2:16" hidden="1" x14ac:dyDescent="0.3">
      <c r="B82" t="s">
        <v>115</v>
      </c>
      <c r="C82" t="s">
        <v>64</v>
      </c>
      <c r="D82" t="s">
        <v>119</v>
      </c>
      <c r="E82" t="s">
        <v>232</v>
      </c>
      <c r="F82" t="s">
        <v>66</v>
      </c>
      <c r="G82">
        <v>4</v>
      </c>
    </row>
    <row r="83" spans="2:16" hidden="1" x14ac:dyDescent="0.3">
      <c r="B83" t="s">
        <v>118</v>
      </c>
      <c r="C83" t="s">
        <v>78</v>
      </c>
      <c r="D83" t="s">
        <v>128</v>
      </c>
      <c r="E83" t="s">
        <v>129</v>
      </c>
      <c r="F83" t="s">
        <v>66</v>
      </c>
      <c r="G83">
        <v>2</v>
      </c>
    </row>
    <row r="84" spans="2:16" hidden="1" x14ac:dyDescent="0.3">
      <c r="B84" t="s">
        <v>121</v>
      </c>
      <c r="C84" t="s">
        <v>90</v>
      </c>
      <c r="D84" t="s">
        <v>108</v>
      </c>
      <c r="E84" t="s">
        <v>120</v>
      </c>
      <c r="F84" t="s">
        <v>66</v>
      </c>
      <c r="G84">
        <v>3</v>
      </c>
    </row>
    <row r="85" spans="2:16" hidden="1" x14ac:dyDescent="0.3">
      <c r="B85" t="s">
        <v>124</v>
      </c>
      <c r="C85" t="s">
        <v>64</v>
      </c>
      <c r="D85" t="s">
        <v>105</v>
      </c>
      <c r="E85" t="s">
        <v>106</v>
      </c>
      <c r="F85" t="s">
        <v>66</v>
      </c>
      <c r="G85">
        <v>4</v>
      </c>
    </row>
    <row r="86" spans="2:16" hidden="1" x14ac:dyDescent="0.3">
      <c r="B86" t="s">
        <v>127</v>
      </c>
      <c r="C86" t="s">
        <v>78</v>
      </c>
      <c r="D86" t="s">
        <v>133</v>
      </c>
      <c r="E86" t="s">
        <v>112</v>
      </c>
      <c r="F86" t="s">
        <v>66</v>
      </c>
      <c r="G86">
        <v>2</v>
      </c>
    </row>
    <row r="87" spans="2:16" hidden="1" x14ac:dyDescent="0.3">
      <c r="B87" t="s">
        <v>130</v>
      </c>
      <c r="C87" t="s">
        <v>64</v>
      </c>
      <c r="D87" t="s">
        <v>108</v>
      </c>
      <c r="E87" t="s">
        <v>91</v>
      </c>
      <c r="F87" t="s">
        <v>66</v>
      </c>
      <c r="G87">
        <v>4</v>
      </c>
    </row>
    <row r="88" spans="2:16" hidden="1" x14ac:dyDescent="0.3">
      <c r="B88" t="s">
        <v>132</v>
      </c>
      <c r="C88" t="s">
        <v>78</v>
      </c>
      <c r="D88" t="s">
        <v>79</v>
      </c>
      <c r="E88" t="s">
        <v>80</v>
      </c>
      <c r="F88" t="s">
        <v>66</v>
      </c>
      <c r="G88">
        <v>1</v>
      </c>
    </row>
    <row r="89" spans="2:16" hidden="1" x14ac:dyDescent="0.3">
      <c r="B89" t="s">
        <v>134</v>
      </c>
      <c r="C89" t="s">
        <v>64</v>
      </c>
      <c r="D89" t="s">
        <v>105</v>
      </c>
      <c r="E89" t="s">
        <v>91</v>
      </c>
      <c r="F89" t="s">
        <v>66</v>
      </c>
      <c r="G89">
        <v>3</v>
      </c>
    </row>
    <row r="90" spans="2:16" hidden="1" x14ac:dyDescent="0.3">
      <c r="B90" t="s">
        <v>136</v>
      </c>
      <c r="C90" t="s">
        <v>78</v>
      </c>
      <c r="D90" t="s">
        <v>93</v>
      </c>
      <c r="E90" t="s">
        <v>131</v>
      </c>
      <c r="F90" t="s">
        <v>66</v>
      </c>
      <c r="G90">
        <v>2</v>
      </c>
    </row>
    <row r="91" spans="2:16" hidden="1" x14ac:dyDescent="0.3">
      <c r="B91" t="s">
        <v>137</v>
      </c>
      <c r="C91" t="s">
        <v>64</v>
      </c>
      <c r="D91" t="s">
        <v>119</v>
      </c>
      <c r="E91" t="s">
        <v>174</v>
      </c>
      <c r="F91" t="s">
        <v>66</v>
      </c>
      <c r="G91">
        <v>5</v>
      </c>
    </row>
    <row r="92" spans="2:16" hidden="1" x14ac:dyDescent="0.3">
      <c r="B92" t="s">
        <v>239</v>
      </c>
      <c r="C92" t="s">
        <v>78</v>
      </c>
      <c r="D92" t="s">
        <v>116</v>
      </c>
      <c r="E92" t="s">
        <v>117</v>
      </c>
      <c r="F92" t="s">
        <v>66</v>
      </c>
      <c r="G92">
        <v>2</v>
      </c>
    </row>
    <row r="93" spans="2:16" hidden="1" x14ac:dyDescent="0.3">
      <c r="B93" t="s">
        <v>240</v>
      </c>
      <c r="C93" t="s">
        <v>78</v>
      </c>
      <c r="D93" t="s">
        <v>135</v>
      </c>
      <c r="E93" t="s">
        <v>99</v>
      </c>
      <c r="F93" t="s">
        <v>66</v>
      </c>
      <c r="G93">
        <v>1</v>
      </c>
    </row>
    <row r="94" spans="2:16" x14ac:dyDescent="0.3">
      <c r="N94" t="s">
        <v>464</v>
      </c>
      <c r="O94" t="s">
        <v>465</v>
      </c>
      <c r="P94" t="s">
        <v>466</v>
      </c>
    </row>
    <row r="95" spans="2:16" x14ac:dyDescent="0.3">
      <c r="B95" s="8"/>
      <c r="C95" s="9"/>
      <c r="D95" s="9"/>
      <c r="E95" s="9"/>
      <c r="F95" s="9"/>
      <c r="G95" s="10"/>
      <c r="N95" s="9">
        <v>0</v>
      </c>
      <c r="O95" s="9">
        <v>200</v>
      </c>
      <c r="P95" s="9">
        <v>-47</v>
      </c>
    </row>
    <row r="96" spans="2:16" x14ac:dyDescent="0.3">
      <c r="B96" s="11"/>
      <c r="C96" s="12"/>
      <c r="D96" s="12"/>
      <c r="E96" s="12"/>
      <c r="F96" s="12"/>
      <c r="G96" s="13"/>
      <c r="N96" s="12">
        <v>16</v>
      </c>
      <c r="O96" s="12">
        <v>10</v>
      </c>
      <c r="P96" s="12">
        <v>-31</v>
      </c>
    </row>
    <row r="97" spans="2:16" x14ac:dyDescent="0.3">
      <c r="B97" s="8"/>
      <c r="C97" s="9"/>
      <c r="D97" s="9"/>
      <c r="E97" s="9"/>
      <c r="F97" s="9"/>
      <c r="G97" s="10"/>
      <c r="N97" s="9">
        <v>1</v>
      </c>
      <c r="O97" s="9">
        <v>118</v>
      </c>
      <c r="P97" s="9">
        <v>-46</v>
      </c>
    </row>
    <row r="98" spans="2:16" x14ac:dyDescent="0.3">
      <c r="B98" s="11"/>
      <c r="C98" s="12"/>
      <c r="D98" s="12"/>
      <c r="E98" s="12"/>
      <c r="F98" s="12"/>
      <c r="G98" s="13"/>
      <c r="N98" s="12">
        <v>2</v>
      </c>
      <c r="O98" s="12">
        <v>54</v>
      </c>
      <c r="P98" s="12">
        <v>-45</v>
      </c>
    </row>
    <row r="99" spans="2:16" x14ac:dyDescent="0.3">
      <c r="B99" s="8"/>
      <c r="C99" s="9"/>
      <c r="D99" s="9"/>
      <c r="E99" s="9"/>
      <c r="F99" s="9"/>
      <c r="G99" s="10"/>
      <c r="N99" s="9">
        <v>14</v>
      </c>
      <c r="O99" s="9">
        <v>14</v>
      </c>
      <c r="P99" s="9">
        <v>-33</v>
      </c>
    </row>
    <row r="100" spans="2:16" x14ac:dyDescent="0.3">
      <c r="B100" s="11"/>
      <c r="C100" s="12"/>
      <c r="D100" s="12"/>
      <c r="E100" s="12"/>
      <c r="F100" s="12"/>
      <c r="G100" s="13"/>
      <c r="N100" s="12">
        <v>13</v>
      </c>
      <c r="O100" s="12">
        <v>16</v>
      </c>
      <c r="P100" s="12">
        <v>-34</v>
      </c>
    </row>
    <row r="101" spans="2:16" x14ac:dyDescent="0.3">
      <c r="B101" s="8"/>
      <c r="C101" s="9"/>
      <c r="D101" s="9"/>
      <c r="E101" s="9"/>
      <c r="F101" s="9"/>
      <c r="G101" s="10"/>
      <c r="N101" s="9">
        <v>10</v>
      </c>
      <c r="O101" s="9">
        <v>18</v>
      </c>
      <c r="P101" s="9">
        <v>-37</v>
      </c>
    </row>
    <row r="102" spans="2:16" x14ac:dyDescent="0.3">
      <c r="B102" s="11"/>
      <c r="C102" s="12"/>
      <c r="D102" s="12"/>
      <c r="E102" s="12"/>
      <c r="F102" s="12"/>
      <c r="G102" s="13"/>
      <c r="N102" s="12">
        <v>6</v>
      </c>
      <c r="O102" s="12">
        <v>26</v>
      </c>
      <c r="P102" s="12">
        <v>-41</v>
      </c>
    </row>
    <row r="103" spans="2:16" x14ac:dyDescent="0.3">
      <c r="B103" s="8"/>
      <c r="C103" s="9"/>
      <c r="D103" s="9"/>
      <c r="E103" s="9"/>
      <c r="F103" s="9"/>
      <c r="G103" s="10"/>
      <c r="N103" s="9">
        <v>3</v>
      </c>
      <c r="O103" s="9">
        <v>36</v>
      </c>
      <c r="P103" s="9">
        <v>-44</v>
      </c>
    </row>
    <row r="104" spans="2:16" x14ac:dyDescent="0.3">
      <c r="B104" s="11"/>
      <c r="C104" s="12"/>
      <c r="D104" s="12"/>
      <c r="E104" s="12"/>
      <c r="F104" s="12"/>
      <c r="G104" s="13"/>
      <c r="N104" s="12">
        <v>9</v>
      </c>
      <c r="O104" s="12">
        <v>22</v>
      </c>
      <c r="P104" s="12">
        <v>-38</v>
      </c>
    </row>
    <row r="105" spans="2:16" x14ac:dyDescent="0.3">
      <c r="B105" s="8"/>
      <c r="C105" s="9"/>
      <c r="D105" s="9"/>
      <c r="E105" s="9"/>
      <c r="F105" s="9"/>
      <c r="G105" s="10"/>
      <c r="N105" s="9">
        <v>4</v>
      </c>
      <c r="O105" s="9">
        <v>34</v>
      </c>
      <c r="P105" s="9">
        <v>-43</v>
      </c>
    </row>
    <row r="108" spans="2:16" ht="15" thickBot="1" x14ac:dyDescent="0.35"/>
    <row r="109" spans="2:16" ht="15" thickBot="1" x14ac:dyDescent="0.35">
      <c r="B109" s="24"/>
      <c r="C109" s="23" t="s">
        <v>476</v>
      </c>
      <c r="D109" s="21" t="s">
        <v>477</v>
      </c>
      <c r="E109" s="21" t="s">
        <v>478</v>
      </c>
      <c r="F109" s="21" t="s">
        <v>479</v>
      </c>
      <c r="G109" s="21" t="s">
        <v>480</v>
      </c>
      <c r="H109" s="21" t="s">
        <v>481</v>
      </c>
      <c r="I109" s="21" t="s">
        <v>482</v>
      </c>
      <c r="J109" s="21" t="s">
        <v>483</v>
      </c>
      <c r="K109" s="21" t="s">
        <v>484</v>
      </c>
      <c r="L109" s="21" t="s">
        <v>475</v>
      </c>
      <c r="M109" s="22" t="s">
        <v>485</v>
      </c>
    </row>
    <row r="110" spans="2:16" x14ac:dyDescent="0.3">
      <c r="B110" s="19" t="s">
        <v>464</v>
      </c>
      <c r="C110" s="15">
        <v>0</v>
      </c>
      <c r="D110" s="15">
        <v>1</v>
      </c>
      <c r="E110" s="15">
        <v>2</v>
      </c>
      <c r="F110" s="15">
        <v>3</v>
      </c>
      <c r="G110" s="15">
        <v>4</v>
      </c>
      <c r="H110" s="15">
        <v>6</v>
      </c>
      <c r="I110" s="15">
        <v>9</v>
      </c>
      <c r="J110" s="15">
        <v>10</v>
      </c>
      <c r="K110" s="15">
        <v>13</v>
      </c>
      <c r="L110" s="15">
        <v>14</v>
      </c>
      <c r="M110" s="16">
        <v>16</v>
      </c>
    </row>
    <row r="111" spans="2:16" x14ac:dyDescent="0.3">
      <c r="B111" s="19" t="s">
        <v>465</v>
      </c>
      <c r="C111" s="15">
        <v>200</v>
      </c>
      <c r="D111" s="15">
        <v>118</v>
      </c>
      <c r="E111" s="15">
        <v>54</v>
      </c>
      <c r="F111" s="15">
        <v>36</v>
      </c>
      <c r="G111" s="15">
        <v>34</v>
      </c>
      <c r="H111" s="15">
        <v>26</v>
      </c>
      <c r="I111" s="15">
        <v>22</v>
      </c>
      <c r="J111" s="15">
        <v>18</v>
      </c>
      <c r="K111" s="15">
        <v>16</v>
      </c>
      <c r="L111" s="15">
        <v>14</v>
      </c>
      <c r="M111" s="16">
        <v>10</v>
      </c>
    </row>
    <row r="112" spans="2:16" ht="15" thickBot="1" x14ac:dyDescent="0.35">
      <c r="B112" s="20" t="s">
        <v>466</v>
      </c>
      <c r="C112" s="17">
        <v>-47</v>
      </c>
      <c r="D112" s="17">
        <v>-46</v>
      </c>
      <c r="E112" s="17">
        <v>-45</v>
      </c>
      <c r="F112" s="17">
        <v>-44</v>
      </c>
      <c r="G112" s="17">
        <v>-43</v>
      </c>
      <c r="H112" s="17">
        <v>-41</v>
      </c>
      <c r="I112" s="17">
        <v>-38</v>
      </c>
      <c r="J112" s="17">
        <v>-37</v>
      </c>
      <c r="K112" s="17">
        <v>-34</v>
      </c>
      <c r="L112" s="17">
        <v>-33</v>
      </c>
      <c r="M112" s="18">
        <v>-31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56E5-EA85-4067-89F4-7D20D0517E40}">
  <dimension ref="A1:V102"/>
  <sheetViews>
    <sheetView topLeftCell="A64" workbookViewId="0">
      <selection activeCell="X11" sqref="X11"/>
    </sheetView>
  </sheetViews>
  <sheetFormatPr defaultRowHeight="14.4" x14ac:dyDescent="0.3"/>
  <sheetData>
    <row r="1" spans="1:22" x14ac:dyDescent="0.3">
      <c r="A1" t="str">
        <f>result_population!A1</f>
        <v>SOC MIN</v>
      </c>
      <c r="B1" t="str">
        <f>result_population!B1</f>
        <v>ownerAndPetAreNotFriends</v>
      </c>
      <c r="C1" t="str">
        <f>result_population!C1</f>
        <v>notEnoughFriendsForPerson</v>
      </c>
      <c r="D1" t="str">
        <f>result_population!D1</f>
        <v>beingInFriendTriangle</v>
      </c>
      <c r="E1" t="str">
        <f>result_population!E1</f>
        <v>size</v>
      </c>
      <c r="F1" t="str">
        <f>result_population!F1</f>
        <v>personWithMoreThan2Dogs or dogWithoutOwner</v>
      </c>
      <c r="I1" t="str">
        <f>result_population!I1</f>
        <v>SOC_MAX</v>
      </c>
      <c r="J1" t="str">
        <f>result_population!J1</f>
        <v>ownerAndPetAreNotFriends</v>
      </c>
      <c r="K1" t="str">
        <f>result_population!K1</f>
        <v>notEnoughFriendsForPerson</v>
      </c>
      <c r="L1" t="str">
        <f>result_population!L1</f>
        <v>beingInFriendTriangle</v>
      </c>
      <c r="M1" t="str">
        <f>result_population!M1</f>
        <v>size</v>
      </c>
      <c r="N1" t="str">
        <f>result_population!N1</f>
        <v>personWithMoreThan2Dogs or dogWithoutOwner</v>
      </c>
      <c r="Q1" t="str">
        <f>result_population!Q1</f>
        <v>CRA</v>
      </c>
      <c r="R1" t="str">
        <f>result_population!R1</f>
        <v>interClassDependency</v>
      </c>
      <c r="S1" t="str">
        <f>result_population!S1</f>
        <v>inClassNoDependency</v>
      </c>
      <c r="T1" t="str">
        <f>result_population!V1</f>
        <v>inClassDependency</v>
      </c>
      <c r="U1" t="str">
        <f>result_population!W1</f>
        <v>size</v>
      </c>
      <c r="V1" t="str">
        <f>result_population!X1</f>
        <v>featureHasNoClass</v>
      </c>
    </row>
    <row r="2" spans="1:22" x14ac:dyDescent="0.3">
      <c r="A2" t="str">
        <f>result_population!A2</f>
        <v>version,</v>
      </c>
      <c r="B2" t="str">
        <f>result_population!B2</f>
        <v>Obj1,</v>
      </c>
      <c r="C2" t="str">
        <f>result_population!C2</f>
        <v>Obj2,</v>
      </c>
      <c r="D2" t="str">
        <f>result_population!D2</f>
        <v>Obj3,</v>
      </c>
      <c r="E2" t="str">
        <f>result_population!E2</f>
        <v>Obj5,</v>
      </c>
      <c r="F2" t="str">
        <f>result_population!F2</f>
        <v>Constr1</v>
      </c>
      <c r="I2" t="str">
        <f>result_population!I2</f>
        <v>version,</v>
      </c>
      <c r="J2" t="str">
        <f>result_population!J2</f>
        <v>Obj1,</v>
      </c>
      <c r="K2" t="str">
        <f>result_population!K2</f>
        <v>Obj2,</v>
      </c>
      <c r="L2" t="str">
        <f>result_population!L2</f>
        <v>Obj4,</v>
      </c>
      <c r="M2" t="str">
        <f>result_population!M2</f>
        <v>Obj5,</v>
      </c>
      <c r="N2" t="str">
        <f>result_population!N2</f>
        <v>Constr1</v>
      </c>
      <c r="Q2" t="str">
        <f>result_population!Q2</f>
        <v>version,</v>
      </c>
      <c r="R2" t="str">
        <f>result_population!R2</f>
        <v>Obj1,</v>
      </c>
      <c r="S2" t="str">
        <f>result_population!S2</f>
        <v>Obj2,</v>
      </c>
      <c r="T2" t="str">
        <f>result_population!V2</f>
        <v>Obj5,</v>
      </c>
      <c r="U2" t="str">
        <f>result_population!W2</f>
        <v>Obj6,</v>
      </c>
      <c r="V2" t="str">
        <f>result_population!X2</f>
        <v>Constr1</v>
      </c>
    </row>
    <row r="3" spans="1:22" x14ac:dyDescent="0.3">
      <c r="B3">
        <f>VALUE(_xlfn.TEXTBEFORE(result_population!B3,","))</f>
        <v>0</v>
      </c>
      <c r="C3">
        <f>VALUE(_xlfn.TEXTBEFORE(result_population!C3,","))</f>
        <v>2</v>
      </c>
      <c r="D3">
        <f>VALUE(_xlfn.TEXTBEFORE(result_population!D3,","))</f>
        <v>0</v>
      </c>
      <c r="E3">
        <f>VALUE(_xlfn.TEXTBEFORE(result_population!E3,","))</f>
        <v>-7</v>
      </c>
      <c r="F3">
        <f>result_population__614[[#This Row],[Constr1]]</f>
        <v>1</v>
      </c>
      <c r="J3">
        <f>VALUE(_xlfn.TEXTBEFORE(result_population!J3,","))</f>
        <v>0</v>
      </c>
      <c r="K3">
        <f>VALUE(_xlfn.TEXTBEFORE(result_population!K3,","))</f>
        <v>1</v>
      </c>
      <c r="L3">
        <f>VALUE(_xlfn.TEXTBEFORE(result_population!L3,","))</f>
        <v>-5</v>
      </c>
      <c r="M3">
        <f>VALUE(_xlfn.TEXTBEFORE(result_population!M3,","))</f>
        <v>-8</v>
      </c>
      <c r="N3">
        <f>result_population__818[[#This Row],[Constr1]]</f>
        <v>1</v>
      </c>
      <c r="R3">
        <f>VALUE(_xlfn.TEXTBEFORE(result_population!R3,","))</f>
        <v>0</v>
      </c>
      <c r="S3">
        <f>VALUE(_xlfn.TEXTBEFORE(result_population!S3,","))</f>
        <v>200</v>
      </c>
      <c r="T3">
        <f>VALUE(_xlfn.TEXTBEFORE(result_population!V3,","))</f>
        <v>-47</v>
      </c>
      <c r="U3">
        <f>VALUE(_xlfn.TEXTBEFORE(result_population!W3,","))</f>
        <v>-22</v>
      </c>
      <c r="V3">
        <f>result_population__411[[#This Row],[Constr1]]</f>
        <v>0</v>
      </c>
    </row>
    <row r="4" spans="1:22" x14ac:dyDescent="0.3">
      <c r="B4">
        <f>VALUE(_xlfn.TEXTBEFORE(result_population!B4,","))</f>
        <v>0</v>
      </c>
      <c r="C4">
        <f>VALUE(_xlfn.TEXTBEFORE(result_population!C4,","))</f>
        <v>1</v>
      </c>
      <c r="D4">
        <f>VALUE(_xlfn.TEXTBEFORE(result_population!D4,","))</f>
        <v>0</v>
      </c>
      <c r="E4">
        <f>VALUE(_xlfn.TEXTBEFORE(result_population!E4,","))</f>
        <v>-6</v>
      </c>
      <c r="F4">
        <f>result_population__614[[#This Row],[Constr1]]</f>
        <v>1</v>
      </c>
      <c r="J4">
        <f>VALUE(_xlfn.TEXTBEFORE(result_population!J4,","))</f>
        <v>3</v>
      </c>
      <c r="K4">
        <f>VALUE(_xlfn.TEXTBEFORE(result_population!K4,","))</f>
        <v>2</v>
      </c>
      <c r="L4">
        <f>VALUE(_xlfn.TEXTBEFORE(result_population!L4,","))</f>
        <v>-6</v>
      </c>
      <c r="M4">
        <f>VALUE(_xlfn.TEXTBEFORE(result_population!M4,","))</f>
        <v>-12</v>
      </c>
      <c r="N4">
        <f>result_population__818[[#This Row],[Constr1]]</f>
        <v>1</v>
      </c>
      <c r="R4">
        <f>VALUE(_xlfn.TEXTBEFORE(result_population!R4,","))</f>
        <v>9</v>
      </c>
      <c r="S4">
        <f>VALUE(_xlfn.TEXTBEFORE(result_population!S4,","))</f>
        <v>2</v>
      </c>
      <c r="T4">
        <f>VALUE(_xlfn.TEXTBEFORE(result_population!V4,","))</f>
        <v>-15</v>
      </c>
      <c r="U4">
        <f>VALUE(_xlfn.TEXTBEFORE(result_population!W4,","))</f>
        <v>-22</v>
      </c>
      <c r="V4">
        <f>result_population__411[[#This Row],[Constr1]]</f>
        <v>6</v>
      </c>
    </row>
    <row r="5" spans="1:22" x14ac:dyDescent="0.3">
      <c r="B5">
        <f>VALUE(_xlfn.TEXTBEFORE(result_population!B5,","))</f>
        <v>4</v>
      </c>
      <c r="C5">
        <f>VALUE(_xlfn.TEXTBEFORE(result_population!C5,","))</f>
        <v>10</v>
      </c>
      <c r="D5">
        <f>VALUE(_xlfn.TEXTBEFORE(result_population!D5,","))</f>
        <v>0</v>
      </c>
      <c r="E5">
        <f>VALUE(_xlfn.TEXTBEFORE(result_population!E5,","))</f>
        <v>-18</v>
      </c>
      <c r="F5">
        <f>result_population__614[[#This Row],[Constr1]]</f>
        <v>1</v>
      </c>
      <c r="J5">
        <f>VALUE(_xlfn.TEXTBEFORE(result_population!J5,","))</f>
        <v>5</v>
      </c>
      <c r="K5">
        <f>VALUE(_xlfn.TEXTBEFORE(result_population!K5,","))</f>
        <v>9</v>
      </c>
      <c r="L5">
        <f>VALUE(_xlfn.TEXTBEFORE(result_population!L5,","))</f>
        <v>0</v>
      </c>
      <c r="M5">
        <f>VALUE(_xlfn.TEXTBEFORE(result_population!M5,","))</f>
        <v>-20</v>
      </c>
      <c r="N5">
        <f>result_population__818[[#This Row],[Constr1]]</f>
        <v>1</v>
      </c>
      <c r="R5">
        <f>VALUE(_xlfn.TEXTBEFORE(result_population!R5,","))</f>
        <v>7</v>
      </c>
      <c r="S5">
        <f>VALUE(_xlfn.TEXTBEFORE(result_population!S5,","))</f>
        <v>2</v>
      </c>
      <c r="T5">
        <f>VALUE(_xlfn.TEXTBEFORE(result_population!V5,","))</f>
        <v>-17</v>
      </c>
      <c r="U5">
        <f>VALUE(_xlfn.TEXTBEFORE(result_population!W5,","))</f>
        <v>-22</v>
      </c>
      <c r="V5">
        <f>result_population__411[[#This Row],[Constr1]]</f>
        <v>7</v>
      </c>
    </row>
    <row r="6" spans="1:22" x14ac:dyDescent="0.3">
      <c r="B6">
        <f>VALUE(_xlfn.TEXTBEFORE(result_population!B6,","))</f>
        <v>0</v>
      </c>
      <c r="C6">
        <f>VALUE(_xlfn.TEXTBEFORE(result_population!C6,","))</f>
        <v>1</v>
      </c>
      <c r="D6">
        <f>VALUE(_xlfn.TEXTBEFORE(result_population!D6,","))</f>
        <v>0</v>
      </c>
      <c r="E6">
        <f>VALUE(_xlfn.TEXTBEFORE(result_population!E6,","))</f>
        <v>-13</v>
      </c>
      <c r="F6">
        <f>result_population__614[[#This Row],[Constr1]]</f>
        <v>8</v>
      </c>
      <c r="J6">
        <f>VALUE(_xlfn.TEXTBEFORE(result_population!J6,","))</f>
        <v>1</v>
      </c>
      <c r="K6">
        <f>VALUE(_xlfn.TEXTBEFORE(result_population!K6,","))</f>
        <v>3</v>
      </c>
      <c r="L6">
        <f>VALUE(_xlfn.TEXTBEFORE(result_population!L6,","))</f>
        <v>0</v>
      </c>
      <c r="M6">
        <f>VALUE(_xlfn.TEXTBEFORE(result_population!M6,","))</f>
        <v>-15</v>
      </c>
      <c r="N6">
        <f>result_population__818[[#This Row],[Constr1]]</f>
        <v>4</v>
      </c>
      <c r="R6">
        <f>VALUE(_xlfn.TEXTBEFORE(result_population!R6,","))</f>
        <v>0</v>
      </c>
      <c r="S6">
        <f>VALUE(_xlfn.TEXTBEFORE(result_population!S6,","))</f>
        <v>4</v>
      </c>
      <c r="T6">
        <f>VALUE(_xlfn.TEXTBEFORE(result_population!V6,","))</f>
        <v>-21</v>
      </c>
      <c r="U6">
        <f>VALUE(_xlfn.TEXTBEFORE(result_population!W6,","))</f>
        <v>-22</v>
      </c>
      <c r="V6">
        <f>result_population__411[[#This Row],[Constr1]]</f>
        <v>7</v>
      </c>
    </row>
    <row r="7" spans="1:22" x14ac:dyDescent="0.3">
      <c r="B7">
        <f>VALUE(_xlfn.TEXTBEFORE(result_population!B7,","))</f>
        <v>3</v>
      </c>
      <c r="C7">
        <f>VALUE(_xlfn.TEXTBEFORE(result_population!C7,","))</f>
        <v>9</v>
      </c>
      <c r="D7">
        <f>VALUE(_xlfn.TEXTBEFORE(result_population!D7,","))</f>
        <v>3</v>
      </c>
      <c r="E7">
        <f>VALUE(_xlfn.TEXTBEFORE(result_population!E7,","))</f>
        <v>-18</v>
      </c>
      <c r="F7">
        <f>result_population__614[[#This Row],[Constr1]]</f>
        <v>1</v>
      </c>
      <c r="J7">
        <f>VALUE(_xlfn.TEXTBEFORE(result_population!J7,","))</f>
        <v>0</v>
      </c>
      <c r="K7">
        <f>VALUE(_xlfn.TEXTBEFORE(result_population!K7,","))</f>
        <v>2</v>
      </c>
      <c r="L7">
        <f>VALUE(_xlfn.TEXTBEFORE(result_population!L7,","))</f>
        <v>-4</v>
      </c>
      <c r="M7">
        <f>VALUE(_xlfn.TEXTBEFORE(result_population!M7,","))</f>
        <v>-14</v>
      </c>
      <c r="N7">
        <f>result_population__818[[#This Row],[Constr1]]</f>
        <v>8</v>
      </c>
      <c r="R7">
        <f>VALUE(_xlfn.TEXTBEFORE(result_population!R7,","))</f>
        <v>16</v>
      </c>
      <c r="S7">
        <f>VALUE(_xlfn.TEXTBEFORE(result_population!S7,","))</f>
        <v>10</v>
      </c>
      <c r="T7">
        <f>VALUE(_xlfn.TEXTBEFORE(result_population!V7,","))</f>
        <v>-31</v>
      </c>
      <c r="U7">
        <f>VALUE(_xlfn.TEXTBEFORE(result_population!W7,","))</f>
        <v>-22</v>
      </c>
      <c r="V7">
        <f>result_population__411[[#This Row],[Constr1]]</f>
        <v>0</v>
      </c>
    </row>
    <row r="8" spans="1:22" x14ac:dyDescent="0.3">
      <c r="B8">
        <f>VALUE(_xlfn.TEXTBEFORE(result_population!B8,","))</f>
        <v>8</v>
      </c>
      <c r="C8">
        <f>VALUE(_xlfn.TEXTBEFORE(result_population!C8,","))</f>
        <v>6</v>
      </c>
      <c r="D8">
        <f>VALUE(_xlfn.TEXTBEFORE(result_population!D8,","))</f>
        <v>0</v>
      </c>
      <c r="E8">
        <f>VALUE(_xlfn.TEXTBEFORE(result_population!E8,","))</f>
        <v>-18</v>
      </c>
      <c r="F8">
        <f>result_population__614[[#This Row],[Constr1]]</f>
        <v>2</v>
      </c>
      <c r="J8">
        <f>VALUE(_xlfn.TEXTBEFORE(result_population!J8,","))</f>
        <v>5</v>
      </c>
      <c r="K8">
        <f>VALUE(_xlfn.TEXTBEFORE(result_population!K8,","))</f>
        <v>2</v>
      </c>
      <c r="L8">
        <f>VALUE(_xlfn.TEXTBEFORE(result_population!L8,","))</f>
        <v>-5</v>
      </c>
      <c r="M8">
        <f>VALUE(_xlfn.TEXTBEFORE(result_population!M8,","))</f>
        <v>-14</v>
      </c>
      <c r="N8">
        <f>result_population__818[[#This Row],[Constr1]]</f>
        <v>2</v>
      </c>
      <c r="R8">
        <f>VALUE(_xlfn.TEXTBEFORE(result_population!R8,","))</f>
        <v>0</v>
      </c>
      <c r="S8">
        <f>VALUE(_xlfn.TEXTBEFORE(result_population!S8,","))</f>
        <v>170</v>
      </c>
      <c r="T8">
        <f>VALUE(_xlfn.TEXTBEFORE(result_population!V8,","))</f>
        <v>-46</v>
      </c>
      <c r="U8">
        <f>VALUE(_xlfn.TEXTBEFORE(result_population!W8,","))</f>
        <v>-22</v>
      </c>
      <c r="V8">
        <f>result_population__411[[#This Row],[Constr1]]</f>
        <v>1</v>
      </c>
    </row>
    <row r="9" spans="1:22" x14ac:dyDescent="0.3">
      <c r="B9">
        <f>VALUE(_xlfn.TEXTBEFORE(result_population!B9,","))</f>
        <v>1</v>
      </c>
      <c r="C9">
        <f>VALUE(_xlfn.TEXTBEFORE(result_population!C9,","))</f>
        <v>1</v>
      </c>
      <c r="D9">
        <f>VALUE(_xlfn.TEXTBEFORE(result_population!D9,","))</f>
        <v>3</v>
      </c>
      <c r="E9">
        <f>VALUE(_xlfn.TEXTBEFORE(result_population!E9,","))</f>
        <v>-8</v>
      </c>
      <c r="F9">
        <f>result_population__614[[#This Row],[Constr1]]</f>
        <v>1</v>
      </c>
      <c r="J9">
        <f>VALUE(_xlfn.TEXTBEFORE(result_population!J9,","))</f>
        <v>1</v>
      </c>
      <c r="K9">
        <f>VALUE(_xlfn.TEXTBEFORE(result_population!K9,","))</f>
        <v>4</v>
      </c>
      <c r="L9">
        <f>VALUE(_xlfn.TEXTBEFORE(result_population!L9,","))</f>
        <v>-3</v>
      </c>
      <c r="M9">
        <f>VALUE(_xlfn.TEXTBEFORE(result_population!M9,","))</f>
        <v>-16</v>
      </c>
      <c r="N9">
        <f>result_population__818[[#This Row],[Constr1]]</f>
        <v>5</v>
      </c>
      <c r="R9">
        <f>VALUE(_xlfn.TEXTBEFORE(result_population!R9,","))</f>
        <v>1</v>
      </c>
      <c r="S9">
        <f>VALUE(_xlfn.TEXTBEFORE(result_population!S9,","))</f>
        <v>118</v>
      </c>
      <c r="T9">
        <f>VALUE(_xlfn.TEXTBEFORE(result_population!V9,","))</f>
        <v>-46</v>
      </c>
      <c r="U9">
        <f>VALUE(_xlfn.TEXTBEFORE(result_population!W9,","))</f>
        <v>-22</v>
      </c>
      <c r="V9">
        <f>result_population__411[[#This Row],[Constr1]]</f>
        <v>0</v>
      </c>
    </row>
    <row r="10" spans="1:22" x14ac:dyDescent="0.3">
      <c r="B10">
        <f>VALUE(_xlfn.TEXTBEFORE(result_population!B10,","))</f>
        <v>2</v>
      </c>
      <c r="C10">
        <f>VALUE(_xlfn.TEXTBEFORE(result_population!C10,","))</f>
        <v>8</v>
      </c>
      <c r="D10">
        <f>VALUE(_xlfn.TEXTBEFORE(result_population!D10,","))</f>
        <v>3</v>
      </c>
      <c r="E10">
        <f>VALUE(_xlfn.TEXTBEFORE(result_population!E10,","))</f>
        <v>-17</v>
      </c>
      <c r="F10">
        <f>result_population__614[[#This Row],[Constr1]]</f>
        <v>2</v>
      </c>
      <c r="J10">
        <f>VALUE(_xlfn.TEXTBEFORE(result_population!J10,","))</f>
        <v>2</v>
      </c>
      <c r="K10">
        <f>VALUE(_xlfn.TEXTBEFORE(result_population!K10,","))</f>
        <v>5</v>
      </c>
      <c r="L10">
        <f>VALUE(_xlfn.TEXTBEFORE(result_population!L10,","))</f>
        <v>-4</v>
      </c>
      <c r="M10">
        <f>VALUE(_xlfn.TEXTBEFORE(result_population!M10,","))</f>
        <v>-17</v>
      </c>
      <c r="N10">
        <f>result_population__818[[#This Row],[Constr1]]</f>
        <v>6</v>
      </c>
      <c r="R10">
        <f>VALUE(_xlfn.TEXTBEFORE(result_population!R10,","))</f>
        <v>0</v>
      </c>
      <c r="S10">
        <f>VALUE(_xlfn.TEXTBEFORE(result_population!S10,","))</f>
        <v>70</v>
      </c>
      <c r="T10">
        <f>VALUE(_xlfn.TEXTBEFORE(result_population!V10,","))</f>
        <v>-43</v>
      </c>
      <c r="U10">
        <f>VALUE(_xlfn.TEXTBEFORE(result_population!W10,","))</f>
        <v>-22</v>
      </c>
      <c r="V10">
        <f>result_population__411[[#This Row],[Constr1]]</f>
        <v>3</v>
      </c>
    </row>
    <row r="11" spans="1:22" x14ac:dyDescent="0.3">
      <c r="B11">
        <f>VALUE(_xlfn.TEXTBEFORE(result_population!B11,","))</f>
        <v>2</v>
      </c>
      <c r="C11">
        <f>VALUE(_xlfn.TEXTBEFORE(result_population!C11,","))</f>
        <v>2</v>
      </c>
      <c r="D11">
        <f>VALUE(_xlfn.TEXTBEFORE(result_population!D11,","))</f>
        <v>3</v>
      </c>
      <c r="E11">
        <f>VALUE(_xlfn.TEXTBEFORE(result_population!E11,","))</f>
        <v>-13</v>
      </c>
      <c r="F11">
        <f>result_population__614[[#This Row],[Constr1]]</f>
        <v>4</v>
      </c>
      <c r="J11">
        <f>VALUE(_xlfn.TEXTBEFORE(result_population!J11,","))</f>
        <v>3</v>
      </c>
      <c r="K11">
        <f>VALUE(_xlfn.TEXTBEFORE(result_population!K11,","))</f>
        <v>2</v>
      </c>
      <c r="L11">
        <f>VALUE(_xlfn.TEXTBEFORE(result_population!L11,","))</f>
        <v>0</v>
      </c>
      <c r="M11">
        <f>VALUE(_xlfn.TEXTBEFORE(result_population!M11,","))</f>
        <v>-13</v>
      </c>
      <c r="N11">
        <f>result_population__818[[#This Row],[Constr1]]</f>
        <v>1</v>
      </c>
      <c r="R11">
        <f>VALUE(_xlfn.TEXTBEFORE(result_population!R11,","))</f>
        <v>0</v>
      </c>
      <c r="S11">
        <f>VALUE(_xlfn.TEXTBEFORE(result_population!S11,","))</f>
        <v>92</v>
      </c>
      <c r="T11">
        <f>VALUE(_xlfn.TEXTBEFORE(result_population!V11,","))</f>
        <v>-44</v>
      </c>
      <c r="U11">
        <f>VALUE(_xlfn.TEXTBEFORE(result_population!W11,","))</f>
        <v>-22</v>
      </c>
      <c r="V11">
        <f>result_population__411[[#This Row],[Constr1]]</f>
        <v>2</v>
      </c>
    </row>
    <row r="12" spans="1:22" x14ac:dyDescent="0.3">
      <c r="B12">
        <f>VALUE(_xlfn.TEXTBEFORE(result_population!B12,","))</f>
        <v>4</v>
      </c>
      <c r="C12">
        <f>VALUE(_xlfn.TEXTBEFORE(result_population!C12,","))</f>
        <v>3</v>
      </c>
      <c r="D12">
        <f>VALUE(_xlfn.TEXTBEFORE(result_population!D12,","))</f>
        <v>3</v>
      </c>
      <c r="E12">
        <f>VALUE(_xlfn.TEXTBEFORE(result_population!E12,","))</f>
        <v>-14</v>
      </c>
      <c r="F12">
        <f>result_population__614[[#This Row],[Constr1]]</f>
        <v>2</v>
      </c>
      <c r="J12">
        <f>VALUE(_xlfn.TEXTBEFORE(result_population!J12,","))</f>
        <v>4</v>
      </c>
      <c r="K12">
        <f>VALUE(_xlfn.TEXTBEFORE(result_population!K12,","))</f>
        <v>9</v>
      </c>
      <c r="L12">
        <f>VALUE(_xlfn.TEXTBEFORE(result_population!L12,","))</f>
        <v>0</v>
      </c>
      <c r="M12">
        <f>VALUE(_xlfn.TEXTBEFORE(result_population!M12,","))</f>
        <v>-20</v>
      </c>
      <c r="N12">
        <f>result_population__818[[#This Row],[Constr1]]</f>
        <v>2</v>
      </c>
      <c r="R12">
        <f>VALUE(_xlfn.TEXTBEFORE(result_population!R12,","))</f>
        <v>8</v>
      </c>
      <c r="S12">
        <f>VALUE(_xlfn.TEXTBEFORE(result_population!S12,","))</f>
        <v>6</v>
      </c>
      <c r="T12">
        <f>VALUE(_xlfn.TEXTBEFORE(result_population!V12,","))</f>
        <v>-23</v>
      </c>
      <c r="U12">
        <f>VALUE(_xlfn.TEXTBEFORE(result_population!W12,","))</f>
        <v>-22</v>
      </c>
      <c r="V12">
        <f>result_population__411[[#This Row],[Constr1]]</f>
        <v>3</v>
      </c>
    </row>
    <row r="13" spans="1:22" x14ac:dyDescent="0.3">
      <c r="B13">
        <f>VALUE(_xlfn.TEXTBEFORE(result_population!B13,","))</f>
        <v>2</v>
      </c>
      <c r="C13">
        <f>VALUE(_xlfn.TEXTBEFORE(result_population!C13,","))</f>
        <v>6</v>
      </c>
      <c r="D13">
        <f>VALUE(_xlfn.TEXTBEFORE(result_population!D13,","))</f>
        <v>0</v>
      </c>
      <c r="E13">
        <f>VALUE(_xlfn.TEXTBEFORE(result_population!E13,","))</f>
        <v>-17</v>
      </c>
      <c r="F13">
        <f>result_population__614[[#This Row],[Constr1]]</f>
        <v>7</v>
      </c>
      <c r="J13">
        <f>VALUE(_xlfn.TEXTBEFORE(result_population!J13,","))</f>
        <v>2</v>
      </c>
      <c r="K13">
        <f>VALUE(_xlfn.TEXTBEFORE(result_population!K13,","))</f>
        <v>8</v>
      </c>
      <c r="L13">
        <f>VALUE(_xlfn.TEXTBEFORE(result_population!L13,","))</f>
        <v>-3</v>
      </c>
      <c r="M13">
        <f>VALUE(_xlfn.TEXTBEFORE(result_population!M13,","))</f>
        <v>-17</v>
      </c>
      <c r="N13">
        <f>result_population__818[[#This Row],[Constr1]]</f>
        <v>1</v>
      </c>
      <c r="R13">
        <f>VALUE(_xlfn.TEXTBEFORE(result_population!R13,","))</f>
        <v>13</v>
      </c>
      <c r="S13">
        <f>VALUE(_xlfn.TEXTBEFORE(result_population!S13,","))</f>
        <v>2</v>
      </c>
      <c r="T13">
        <f>VALUE(_xlfn.TEXTBEFORE(result_population!V13,","))</f>
        <v>-22</v>
      </c>
      <c r="U13">
        <f>VALUE(_xlfn.TEXTBEFORE(result_population!W13,","))</f>
        <v>-22</v>
      </c>
      <c r="V13">
        <f>result_population__411[[#This Row],[Constr1]]</f>
        <v>5</v>
      </c>
    </row>
    <row r="14" spans="1:22" x14ac:dyDescent="0.3">
      <c r="B14">
        <f>VALUE(_xlfn.TEXTBEFORE(result_population!B14,","))</f>
        <v>0</v>
      </c>
      <c r="C14">
        <f>VALUE(_xlfn.TEXTBEFORE(result_population!C14,","))</f>
        <v>1</v>
      </c>
      <c r="D14">
        <f>VALUE(_xlfn.TEXTBEFORE(result_population!D14,","))</f>
        <v>0</v>
      </c>
      <c r="E14">
        <f>VALUE(_xlfn.TEXTBEFORE(result_population!E14,","))</f>
        <v>-12</v>
      </c>
      <c r="F14">
        <f>result_population__614[[#This Row],[Constr1]]</f>
        <v>7</v>
      </c>
      <c r="J14">
        <f>VALUE(_xlfn.TEXTBEFORE(result_population!J14,","))</f>
        <v>0</v>
      </c>
      <c r="K14">
        <f>VALUE(_xlfn.TEXTBEFORE(result_population!K14,","))</f>
        <v>4</v>
      </c>
      <c r="L14">
        <f>VALUE(_xlfn.TEXTBEFORE(result_population!L14,","))</f>
        <v>-5</v>
      </c>
      <c r="M14">
        <f>VALUE(_xlfn.TEXTBEFORE(result_population!M14,","))</f>
        <v>-14</v>
      </c>
      <c r="N14">
        <f>result_population__818[[#This Row],[Constr1]]</f>
        <v>5</v>
      </c>
      <c r="R14">
        <f>VALUE(_xlfn.TEXTBEFORE(result_population!R14,","))</f>
        <v>15</v>
      </c>
      <c r="S14">
        <f>VALUE(_xlfn.TEXTBEFORE(result_population!S14,","))</f>
        <v>6</v>
      </c>
      <c r="T14">
        <f>VALUE(_xlfn.TEXTBEFORE(result_population!V14,","))</f>
        <v>-30</v>
      </c>
      <c r="U14">
        <f>VALUE(_xlfn.TEXTBEFORE(result_population!W14,","))</f>
        <v>-22</v>
      </c>
      <c r="V14">
        <f>result_population__411[[#This Row],[Constr1]]</f>
        <v>2</v>
      </c>
    </row>
    <row r="15" spans="1:22" x14ac:dyDescent="0.3">
      <c r="B15">
        <f>VALUE(_xlfn.TEXTBEFORE(result_population!B15,","))</f>
        <v>0</v>
      </c>
      <c r="C15">
        <f>VALUE(_xlfn.TEXTBEFORE(result_population!C15,","))</f>
        <v>1</v>
      </c>
      <c r="D15">
        <f>VALUE(_xlfn.TEXTBEFORE(result_population!D15,","))</f>
        <v>0</v>
      </c>
      <c r="E15">
        <f>VALUE(_xlfn.TEXTBEFORE(result_population!E15,","))</f>
        <v>-10</v>
      </c>
      <c r="F15">
        <f>result_population__614[[#This Row],[Constr1]]</f>
        <v>5</v>
      </c>
      <c r="J15">
        <f>VALUE(_xlfn.TEXTBEFORE(result_population!J15,","))</f>
        <v>5</v>
      </c>
      <c r="K15">
        <f>VALUE(_xlfn.TEXTBEFORE(result_population!K15,","))</f>
        <v>7</v>
      </c>
      <c r="L15">
        <f>VALUE(_xlfn.TEXTBEFORE(result_population!L15,","))</f>
        <v>-4</v>
      </c>
      <c r="M15">
        <f>VALUE(_xlfn.TEXTBEFORE(result_population!M15,","))</f>
        <v>-18</v>
      </c>
      <c r="N15">
        <f>result_population__818[[#This Row],[Constr1]]</f>
        <v>1</v>
      </c>
      <c r="R15">
        <f>VALUE(_xlfn.TEXTBEFORE(result_population!R15,","))</f>
        <v>15</v>
      </c>
      <c r="S15">
        <f>VALUE(_xlfn.TEXTBEFORE(result_population!S15,","))</f>
        <v>8</v>
      </c>
      <c r="T15">
        <f>VALUE(_xlfn.TEXTBEFORE(result_population!V15,","))</f>
        <v>-31</v>
      </c>
      <c r="U15">
        <f>VALUE(_xlfn.TEXTBEFORE(result_population!W15,","))</f>
        <v>-22</v>
      </c>
      <c r="V15">
        <f>result_population__411[[#This Row],[Constr1]]</f>
        <v>1</v>
      </c>
    </row>
    <row r="16" spans="1:22" x14ac:dyDescent="0.3">
      <c r="B16">
        <f>VALUE(_xlfn.TEXTBEFORE(result_population!B16,","))</f>
        <v>0</v>
      </c>
      <c r="C16">
        <f>VALUE(_xlfn.TEXTBEFORE(result_population!C16,","))</f>
        <v>1</v>
      </c>
      <c r="D16">
        <f>VALUE(_xlfn.TEXTBEFORE(result_population!D16,","))</f>
        <v>0</v>
      </c>
      <c r="E16">
        <f>VALUE(_xlfn.TEXTBEFORE(result_population!E16,","))</f>
        <v>-8</v>
      </c>
      <c r="F16">
        <f>result_population__614[[#This Row],[Constr1]]</f>
        <v>3</v>
      </c>
      <c r="J16">
        <f>VALUE(_xlfn.TEXTBEFORE(result_population!J16,","))</f>
        <v>3</v>
      </c>
      <c r="K16">
        <f>VALUE(_xlfn.TEXTBEFORE(result_population!K16,","))</f>
        <v>1</v>
      </c>
      <c r="L16">
        <f>VALUE(_xlfn.TEXTBEFORE(result_population!L16,","))</f>
        <v>-5</v>
      </c>
      <c r="M16">
        <f>VALUE(_xlfn.TEXTBEFORE(result_population!M16,","))</f>
        <v>-11</v>
      </c>
      <c r="N16">
        <f>result_population__818[[#This Row],[Constr1]]</f>
        <v>1</v>
      </c>
      <c r="R16">
        <f>VALUE(_xlfn.TEXTBEFORE(result_population!R16,","))</f>
        <v>2</v>
      </c>
      <c r="S16">
        <f>VALUE(_xlfn.TEXTBEFORE(result_population!S16,","))</f>
        <v>54</v>
      </c>
      <c r="T16">
        <f>VALUE(_xlfn.TEXTBEFORE(result_population!V16,","))</f>
        <v>-45</v>
      </c>
      <c r="U16">
        <f>VALUE(_xlfn.TEXTBEFORE(result_population!W16,","))</f>
        <v>-22</v>
      </c>
      <c r="V16">
        <f>result_population__411[[#This Row],[Constr1]]</f>
        <v>0</v>
      </c>
    </row>
    <row r="17" spans="2:22" x14ac:dyDescent="0.3">
      <c r="B17">
        <f>VALUE(_xlfn.TEXTBEFORE(result_population!B17,","))</f>
        <v>0</v>
      </c>
      <c r="C17">
        <f>VALUE(_xlfn.TEXTBEFORE(result_population!C17,","))</f>
        <v>1</v>
      </c>
      <c r="D17">
        <f>VALUE(_xlfn.TEXTBEFORE(result_population!D17,","))</f>
        <v>0</v>
      </c>
      <c r="E17">
        <f>VALUE(_xlfn.TEXTBEFORE(result_population!E17,","))</f>
        <v>-7</v>
      </c>
      <c r="F17">
        <f>result_population__614[[#This Row],[Constr1]]</f>
        <v>2</v>
      </c>
      <c r="J17">
        <f>VALUE(_xlfn.TEXTBEFORE(result_population!J17,","))</f>
        <v>1</v>
      </c>
      <c r="K17">
        <f>VALUE(_xlfn.TEXTBEFORE(result_population!K17,","))</f>
        <v>6</v>
      </c>
      <c r="L17">
        <f>VALUE(_xlfn.TEXTBEFORE(result_population!L17,","))</f>
        <v>-4</v>
      </c>
      <c r="M17">
        <f>VALUE(_xlfn.TEXTBEFORE(result_population!M17,","))</f>
        <v>-16</v>
      </c>
      <c r="N17">
        <f>result_population__818[[#This Row],[Constr1]]</f>
        <v>4</v>
      </c>
      <c r="R17">
        <f>VALUE(_xlfn.TEXTBEFORE(result_population!R17,","))</f>
        <v>0</v>
      </c>
      <c r="S17">
        <f>VALUE(_xlfn.TEXTBEFORE(result_population!S17,","))</f>
        <v>8</v>
      </c>
      <c r="T17">
        <f>VALUE(_xlfn.TEXTBEFORE(result_population!V17,","))</f>
        <v>-30</v>
      </c>
      <c r="U17">
        <f>VALUE(_xlfn.TEXTBEFORE(result_population!W17,","))</f>
        <v>-22</v>
      </c>
      <c r="V17">
        <f>result_population__411[[#This Row],[Constr1]]</f>
        <v>6</v>
      </c>
    </row>
    <row r="18" spans="2:22" x14ac:dyDescent="0.3">
      <c r="B18">
        <f>VALUE(_xlfn.TEXTBEFORE(result_population!B18,","))</f>
        <v>0</v>
      </c>
      <c r="C18">
        <f>VALUE(_xlfn.TEXTBEFORE(result_population!C18,","))</f>
        <v>1</v>
      </c>
      <c r="D18">
        <f>VALUE(_xlfn.TEXTBEFORE(result_population!D18,","))</f>
        <v>0</v>
      </c>
      <c r="E18">
        <f>VALUE(_xlfn.TEXTBEFORE(result_population!E18,","))</f>
        <v>-9</v>
      </c>
      <c r="F18">
        <f>result_population__614[[#This Row],[Constr1]]</f>
        <v>4</v>
      </c>
      <c r="J18">
        <f>VALUE(_xlfn.TEXTBEFORE(result_population!J18,","))</f>
        <v>0</v>
      </c>
      <c r="K18">
        <f>VALUE(_xlfn.TEXTBEFORE(result_population!K18,","))</f>
        <v>1</v>
      </c>
      <c r="L18">
        <f>VALUE(_xlfn.TEXTBEFORE(result_population!L18,","))</f>
        <v>-3</v>
      </c>
      <c r="M18">
        <f>VALUE(_xlfn.TEXTBEFORE(result_population!M18,","))</f>
        <v>-12</v>
      </c>
      <c r="N18">
        <f>result_population__818[[#This Row],[Constr1]]</f>
        <v>5</v>
      </c>
      <c r="R18">
        <f>VALUE(_xlfn.TEXTBEFORE(result_population!R18,","))</f>
        <v>0</v>
      </c>
      <c r="S18">
        <f>VALUE(_xlfn.TEXTBEFORE(result_population!S18,","))</f>
        <v>12</v>
      </c>
      <c r="T18">
        <f>VALUE(_xlfn.TEXTBEFORE(result_population!V18,","))</f>
        <v>-35</v>
      </c>
      <c r="U18">
        <f>VALUE(_xlfn.TEXTBEFORE(result_population!W18,","))</f>
        <v>-22</v>
      </c>
      <c r="V18">
        <f>result_population__411[[#This Row],[Constr1]]</f>
        <v>5</v>
      </c>
    </row>
    <row r="19" spans="2:22" x14ac:dyDescent="0.3">
      <c r="B19">
        <f>VALUE(_xlfn.TEXTBEFORE(result_population!B19,","))</f>
        <v>0</v>
      </c>
      <c r="C19">
        <f>VALUE(_xlfn.TEXTBEFORE(result_population!C19,","))</f>
        <v>1</v>
      </c>
      <c r="D19">
        <f>VALUE(_xlfn.TEXTBEFORE(result_population!D19,","))</f>
        <v>0</v>
      </c>
      <c r="E19">
        <f>VALUE(_xlfn.TEXTBEFORE(result_population!E19,","))</f>
        <v>-11</v>
      </c>
      <c r="F19">
        <f>result_population__614[[#This Row],[Constr1]]</f>
        <v>6</v>
      </c>
      <c r="J19">
        <f>VALUE(_xlfn.TEXTBEFORE(result_population!J19,","))</f>
        <v>0</v>
      </c>
      <c r="K19">
        <f>VALUE(_xlfn.TEXTBEFORE(result_population!K19,","))</f>
        <v>1</v>
      </c>
      <c r="L19">
        <f>VALUE(_xlfn.TEXTBEFORE(result_population!L19,","))</f>
        <v>-5</v>
      </c>
      <c r="M19">
        <f>VALUE(_xlfn.TEXTBEFORE(result_population!M19,","))</f>
        <v>-9</v>
      </c>
      <c r="N19">
        <f>result_population__818[[#This Row],[Constr1]]</f>
        <v>2</v>
      </c>
      <c r="R19">
        <f>VALUE(_xlfn.TEXTBEFORE(result_population!R19,","))</f>
        <v>0</v>
      </c>
      <c r="S19">
        <f>VALUE(_xlfn.TEXTBEFORE(result_population!S19,","))</f>
        <v>22</v>
      </c>
      <c r="T19">
        <f>VALUE(_xlfn.TEXTBEFORE(result_population!V19,","))</f>
        <v>-38</v>
      </c>
      <c r="U19">
        <f>VALUE(_xlfn.TEXTBEFORE(result_population!W19,","))</f>
        <v>-22</v>
      </c>
      <c r="V19">
        <f>result_population__411[[#This Row],[Constr1]]</f>
        <v>4</v>
      </c>
    </row>
    <row r="20" spans="2:22" x14ac:dyDescent="0.3">
      <c r="B20">
        <f>VALUE(_xlfn.TEXTBEFORE(result_population!B20,","))</f>
        <v>7</v>
      </c>
      <c r="C20">
        <f>VALUE(_xlfn.TEXTBEFORE(result_population!C20,","))</f>
        <v>6</v>
      </c>
      <c r="D20">
        <f>VALUE(_xlfn.TEXTBEFORE(result_population!D20,","))</f>
        <v>0</v>
      </c>
      <c r="E20">
        <f>VALUE(_xlfn.TEXTBEFORE(result_population!E20,","))</f>
        <v>-18</v>
      </c>
      <c r="F20">
        <f>result_population__614[[#This Row],[Constr1]]</f>
        <v>3</v>
      </c>
      <c r="J20">
        <f>VALUE(_xlfn.TEXTBEFORE(result_population!J20,","))</f>
        <v>0</v>
      </c>
      <c r="K20">
        <f>VALUE(_xlfn.TEXTBEFORE(result_population!K20,","))</f>
        <v>1</v>
      </c>
      <c r="L20">
        <f>VALUE(_xlfn.TEXTBEFORE(result_population!L20,","))</f>
        <v>-5</v>
      </c>
      <c r="M20">
        <f>VALUE(_xlfn.TEXTBEFORE(result_population!M20,","))</f>
        <v>-10</v>
      </c>
      <c r="N20">
        <f>result_population__818[[#This Row],[Constr1]]</f>
        <v>3</v>
      </c>
      <c r="R20">
        <f>VALUE(_xlfn.TEXTBEFORE(result_population!R20,","))</f>
        <v>9</v>
      </c>
      <c r="S20">
        <f>VALUE(_xlfn.TEXTBEFORE(result_population!S20,","))</f>
        <v>4</v>
      </c>
      <c r="T20">
        <f>VALUE(_xlfn.TEXTBEFORE(result_population!V20,","))</f>
        <v>-29</v>
      </c>
      <c r="U20">
        <f>VALUE(_xlfn.TEXTBEFORE(result_population!W20,","))</f>
        <v>-22</v>
      </c>
      <c r="V20">
        <f>result_population__411[[#This Row],[Constr1]]</f>
        <v>4</v>
      </c>
    </row>
    <row r="21" spans="2:22" x14ac:dyDescent="0.3">
      <c r="B21">
        <f>VALUE(_xlfn.TEXTBEFORE(result_population!B21,","))</f>
        <v>7</v>
      </c>
      <c r="C21">
        <f>VALUE(_xlfn.TEXTBEFORE(result_population!C21,","))</f>
        <v>6</v>
      </c>
      <c r="D21">
        <f>VALUE(_xlfn.TEXTBEFORE(result_population!D21,","))</f>
        <v>0</v>
      </c>
      <c r="E21">
        <f>VALUE(_xlfn.TEXTBEFORE(result_population!E21,","))</f>
        <v>-16</v>
      </c>
      <c r="F21">
        <f>result_population__614[[#This Row],[Constr1]]</f>
        <v>1</v>
      </c>
      <c r="J21">
        <f>VALUE(_xlfn.TEXTBEFORE(result_population!J21,","))</f>
        <v>4</v>
      </c>
      <c r="K21">
        <f>VALUE(_xlfn.TEXTBEFORE(result_population!K21,","))</f>
        <v>8</v>
      </c>
      <c r="L21">
        <f>VALUE(_xlfn.TEXTBEFORE(result_population!L21,","))</f>
        <v>0</v>
      </c>
      <c r="M21">
        <f>VALUE(_xlfn.TEXTBEFORE(result_population!M21,","))</f>
        <v>-20</v>
      </c>
      <c r="N21">
        <f>result_population__818[[#This Row],[Constr1]]</f>
        <v>3</v>
      </c>
      <c r="R21">
        <f>VALUE(_xlfn.TEXTBEFORE(result_population!R21,","))</f>
        <v>14</v>
      </c>
      <c r="S21">
        <f>VALUE(_xlfn.TEXTBEFORE(result_population!S21,","))</f>
        <v>14</v>
      </c>
      <c r="T21">
        <f>VALUE(_xlfn.TEXTBEFORE(result_population!V21,","))</f>
        <v>-33</v>
      </c>
      <c r="U21">
        <f>VALUE(_xlfn.TEXTBEFORE(result_population!W21,","))</f>
        <v>-22</v>
      </c>
      <c r="V21">
        <f>result_population__411[[#This Row],[Constr1]]</f>
        <v>0</v>
      </c>
    </row>
    <row r="22" spans="2:22" x14ac:dyDescent="0.3">
      <c r="B22">
        <f>VALUE(_xlfn.TEXTBEFORE(result_population!B22,","))</f>
        <v>7</v>
      </c>
      <c r="C22">
        <f>VALUE(_xlfn.TEXTBEFORE(result_population!C22,","))</f>
        <v>5</v>
      </c>
      <c r="D22">
        <f>VALUE(_xlfn.TEXTBEFORE(result_population!D22,","))</f>
        <v>0</v>
      </c>
      <c r="E22">
        <f>VALUE(_xlfn.TEXTBEFORE(result_population!E22,","))</f>
        <v>-15</v>
      </c>
      <c r="F22">
        <f>result_population__614[[#This Row],[Constr1]]</f>
        <v>1</v>
      </c>
      <c r="J22">
        <f>VALUE(_xlfn.TEXTBEFORE(result_population!J22,","))</f>
        <v>0</v>
      </c>
      <c r="K22">
        <f>VALUE(_xlfn.TEXTBEFORE(result_population!K22,","))</f>
        <v>1</v>
      </c>
      <c r="L22">
        <f>VALUE(_xlfn.TEXTBEFORE(result_population!L22,","))</f>
        <v>-5</v>
      </c>
      <c r="M22">
        <f>VALUE(_xlfn.TEXTBEFORE(result_population!M22,","))</f>
        <v>-11</v>
      </c>
      <c r="N22">
        <f>result_population__818[[#This Row],[Constr1]]</f>
        <v>4</v>
      </c>
      <c r="R22">
        <f>VALUE(_xlfn.TEXTBEFORE(result_population!R22,","))</f>
        <v>10</v>
      </c>
      <c r="S22">
        <f>VALUE(_xlfn.TEXTBEFORE(result_population!S22,","))</f>
        <v>2</v>
      </c>
      <c r="T22">
        <f>VALUE(_xlfn.TEXTBEFORE(result_population!V22,","))</f>
        <v>-19</v>
      </c>
      <c r="U22">
        <f>VALUE(_xlfn.TEXTBEFORE(result_population!W22,","))</f>
        <v>-22</v>
      </c>
      <c r="V22">
        <f>result_population__411[[#This Row],[Constr1]]</f>
        <v>6</v>
      </c>
    </row>
    <row r="23" spans="2:22" x14ac:dyDescent="0.3">
      <c r="B23">
        <f>VALUE(_xlfn.TEXTBEFORE(result_population!B23,","))</f>
        <v>7</v>
      </c>
      <c r="C23">
        <f>VALUE(_xlfn.TEXTBEFORE(result_population!C23,","))</f>
        <v>4</v>
      </c>
      <c r="D23">
        <f>VALUE(_xlfn.TEXTBEFORE(result_population!D23,","))</f>
        <v>0</v>
      </c>
      <c r="E23">
        <f>VALUE(_xlfn.TEXTBEFORE(result_population!E23,","))</f>
        <v>-14</v>
      </c>
      <c r="F23">
        <f>result_population__614[[#This Row],[Constr1]]</f>
        <v>1</v>
      </c>
      <c r="J23">
        <f>VALUE(_xlfn.TEXTBEFORE(result_population!J23,","))</f>
        <v>5</v>
      </c>
      <c r="K23">
        <f>VALUE(_xlfn.TEXTBEFORE(result_population!K23,","))</f>
        <v>6</v>
      </c>
      <c r="L23">
        <f>VALUE(_xlfn.TEXTBEFORE(result_population!L23,","))</f>
        <v>-5</v>
      </c>
      <c r="M23">
        <f>VALUE(_xlfn.TEXTBEFORE(result_population!M23,","))</f>
        <v>-18</v>
      </c>
      <c r="N23">
        <f>result_population__818[[#This Row],[Constr1]]</f>
        <v>2</v>
      </c>
      <c r="R23">
        <f>VALUE(_xlfn.TEXTBEFORE(result_population!R23,","))</f>
        <v>0</v>
      </c>
      <c r="S23">
        <f>VALUE(_xlfn.TEXTBEFORE(result_population!S23,","))</f>
        <v>116</v>
      </c>
      <c r="T23">
        <f>VALUE(_xlfn.TEXTBEFORE(result_population!V23,","))</f>
        <v>-45</v>
      </c>
      <c r="U23">
        <f>VALUE(_xlfn.TEXTBEFORE(result_population!W23,","))</f>
        <v>-22</v>
      </c>
      <c r="V23">
        <f>result_population__411[[#This Row],[Constr1]]</f>
        <v>1</v>
      </c>
    </row>
    <row r="24" spans="2:22" x14ac:dyDescent="0.3">
      <c r="B24">
        <f>VALUE(_xlfn.TEXTBEFORE(result_population!B24,","))</f>
        <v>4</v>
      </c>
      <c r="C24">
        <f>VALUE(_xlfn.TEXTBEFORE(result_population!C24,","))</f>
        <v>9</v>
      </c>
      <c r="D24">
        <f>VALUE(_xlfn.TEXTBEFORE(result_population!D24,","))</f>
        <v>0</v>
      </c>
      <c r="E24">
        <f>VALUE(_xlfn.TEXTBEFORE(result_population!E24,","))</f>
        <v>-17</v>
      </c>
      <c r="F24">
        <f>result_population__614[[#This Row],[Constr1]]</f>
        <v>1</v>
      </c>
      <c r="J24">
        <f>VALUE(_xlfn.TEXTBEFORE(result_population!J24,","))</f>
        <v>5</v>
      </c>
      <c r="K24">
        <f>VALUE(_xlfn.TEXTBEFORE(result_population!K24,","))</f>
        <v>3</v>
      </c>
      <c r="L24">
        <f>VALUE(_xlfn.TEXTBEFORE(result_population!L24,","))</f>
        <v>-5</v>
      </c>
      <c r="M24">
        <f>VALUE(_xlfn.TEXTBEFORE(result_population!M24,","))</f>
        <v>-14</v>
      </c>
      <c r="N24">
        <f>result_population__818[[#This Row],[Constr1]]</f>
        <v>1</v>
      </c>
      <c r="R24">
        <f>VALUE(_xlfn.TEXTBEFORE(result_population!R24,","))</f>
        <v>11</v>
      </c>
      <c r="S24">
        <f>VALUE(_xlfn.TEXTBEFORE(result_population!S24,","))</f>
        <v>10</v>
      </c>
      <c r="T24">
        <f>VALUE(_xlfn.TEXTBEFORE(result_population!V24,","))</f>
        <v>-31</v>
      </c>
      <c r="U24">
        <f>VALUE(_xlfn.TEXTBEFORE(result_population!W24,","))</f>
        <v>-22</v>
      </c>
      <c r="V24">
        <f>result_population__411[[#This Row],[Constr1]]</f>
        <v>1</v>
      </c>
    </row>
    <row r="25" spans="2:22" x14ac:dyDescent="0.3">
      <c r="B25">
        <f>VALUE(_xlfn.TEXTBEFORE(result_population!B25,","))</f>
        <v>0</v>
      </c>
      <c r="C25">
        <f>VALUE(_xlfn.TEXTBEFORE(result_population!C25,","))</f>
        <v>3</v>
      </c>
      <c r="D25">
        <f>VALUE(_xlfn.TEXTBEFORE(result_population!D25,","))</f>
        <v>0</v>
      </c>
      <c r="E25">
        <f>VALUE(_xlfn.TEXTBEFORE(result_population!E25,","))</f>
        <v>-14</v>
      </c>
      <c r="F25">
        <f>result_population__614[[#This Row],[Constr1]]</f>
        <v>7</v>
      </c>
      <c r="J25">
        <f>VALUE(_xlfn.TEXTBEFORE(result_population!J25,","))</f>
        <v>4</v>
      </c>
      <c r="K25">
        <f>VALUE(_xlfn.TEXTBEFORE(result_population!K25,","))</f>
        <v>8</v>
      </c>
      <c r="L25">
        <f>VALUE(_xlfn.TEXTBEFORE(result_population!L25,","))</f>
        <v>-3</v>
      </c>
      <c r="M25">
        <f>VALUE(_xlfn.TEXTBEFORE(result_population!M25,","))</f>
        <v>-18</v>
      </c>
      <c r="N25">
        <f>result_population__818[[#This Row],[Constr1]]</f>
        <v>1</v>
      </c>
      <c r="R25">
        <f>VALUE(_xlfn.TEXTBEFORE(result_population!R25,","))</f>
        <v>4</v>
      </c>
      <c r="S25">
        <f>VALUE(_xlfn.TEXTBEFORE(result_population!S25,","))</f>
        <v>4</v>
      </c>
      <c r="T25">
        <f>VALUE(_xlfn.TEXTBEFORE(result_population!V25,","))</f>
        <v>-20</v>
      </c>
      <c r="U25">
        <f>VALUE(_xlfn.TEXTBEFORE(result_population!W25,","))</f>
        <v>-22</v>
      </c>
      <c r="V25">
        <f>result_population__411[[#This Row],[Constr1]]</f>
        <v>5</v>
      </c>
    </row>
    <row r="26" spans="2:22" x14ac:dyDescent="0.3">
      <c r="B26">
        <f>VALUE(_xlfn.TEXTBEFORE(result_population!B26,","))</f>
        <v>0</v>
      </c>
      <c r="C26">
        <f>VALUE(_xlfn.TEXTBEFORE(result_population!C26,","))</f>
        <v>4</v>
      </c>
      <c r="D26">
        <f>VALUE(_xlfn.TEXTBEFORE(result_population!D26,","))</f>
        <v>0</v>
      </c>
      <c r="E26">
        <f>VALUE(_xlfn.TEXTBEFORE(result_population!E26,","))</f>
        <v>-9</v>
      </c>
      <c r="F26">
        <f>result_population__614[[#This Row],[Constr1]]</f>
        <v>1</v>
      </c>
      <c r="J26">
        <f>VALUE(_xlfn.TEXTBEFORE(result_population!J26,","))</f>
        <v>0</v>
      </c>
      <c r="K26">
        <f>VALUE(_xlfn.TEXTBEFORE(result_population!K26,","))</f>
        <v>4</v>
      </c>
      <c r="L26">
        <f>VALUE(_xlfn.TEXTBEFORE(result_population!L26,","))</f>
        <v>-5</v>
      </c>
      <c r="M26">
        <f>VALUE(_xlfn.TEXTBEFORE(result_population!M26,","))</f>
        <v>-12</v>
      </c>
      <c r="N26">
        <f>result_population__818[[#This Row],[Constr1]]</f>
        <v>1</v>
      </c>
      <c r="R26">
        <f>VALUE(_xlfn.TEXTBEFORE(result_population!R26,","))</f>
        <v>12</v>
      </c>
      <c r="S26">
        <f>VALUE(_xlfn.TEXTBEFORE(result_population!S26,","))</f>
        <v>14</v>
      </c>
      <c r="T26">
        <f>VALUE(_xlfn.TEXTBEFORE(result_population!V26,","))</f>
        <v>-34</v>
      </c>
      <c r="U26">
        <f>VALUE(_xlfn.TEXTBEFORE(result_population!W26,","))</f>
        <v>-22</v>
      </c>
      <c r="V26">
        <f>result_population__411[[#This Row],[Constr1]]</f>
        <v>1</v>
      </c>
    </row>
    <row r="27" spans="2:22" x14ac:dyDescent="0.3">
      <c r="B27">
        <f>VALUE(_xlfn.TEXTBEFORE(result_population!B27,","))</f>
        <v>3</v>
      </c>
      <c r="C27">
        <f>VALUE(_xlfn.TEXTBEFORE(result_population!C27,","))</f>
        <v>7</v>
      </c>
      <c r="D27">
        <f>VALUE(_xlfn.TEXTBEFORE(result_population!D27,","))</f>
        <v>0</v>
      </c>
      <c r="E27">
        <f>VALUE(_xlfn.TEXTBEFORE(result_population!E27,","))</f>
        <v>-17</v>
      </c>
      <c r="F27">
        <f>result_population__614[[#This Row],[Constr1]]</f>
        <v>5</v>
      </c>
      <c r="J27">
        <f>VALUE(_xlfn.TEXTBEFORE(result_population!J27,","))</f>
        <v>1</v>
      </c>
      <c r="K27">
        <f>VALUE(_xlfn.TEXTBEFORE(result_population!K27,","))</f>
        <v>3</v>
      </c>
      <c r="L27">
        <f>VALUE(_xlfn.TEXTBEFORE(result_population!L27,","))</f>
        <v>-5</v>
      </c>
      <c r="M27">
        <f>VALUE(_xlfn.TEXTBEFORE(result_population!M27,","))</f>
        <v>-14</v>
      </c>
      <c r="N27">
        <f>result_population__818[[#This Row],[Constr1]]</f>
        <v>3</v>
      </c>
      <c r="R27">
        <f>VALUE(_xlfn.TEXTBEFORE(result_population!R27,","))</f>
        <v>1</v>
      </c>
      <c r="S27">
        <f>VALUE(_xlfn.TEXTBEFORE(result_population!S27,","))</f>
        <v>94</v>
      </c>
      <c r="T27">
        <f>VALUE(_xlfn.TEXTBEFORE(result_population!V27,","))</f>
        <v>-45</v>
      </c>
      <c r="U27">
        <f>VALUE(_xlfn.TEXTBEFORE(result_population!W27,","))</f>
        <v>-22</v>
      </c>
      <c r="V27">
        <f>result_population__411[[#This Row],[Constr1]]</f>
        <v>1</v>
      </c>
    </row>
    <row r="28" spans="2:22" x14ac:dyDescent="0.3">
      <c r="B28">
        <f>VALUE(_xlfn.TEXTBEFORE(result_population!B28,","))</f>
        <v>2</v>
      </c>
      <c r="C28">
        <f>VALUE(_xlfn.TEXTBEFORE(result_population!C28,","))</f>
        <v>7</v>
      </c>
      <c r="D28">
        <f>VALUE(_xlfn.TEXTBEFORE(result_population!D28,","))</f>
        <v>0</v>
      </c>
      <c r="E28">
        <f>VALUE(_xlfn.TEXTBEFORE(result_population!E28,","))</f>
        <v>-17</v>
      </c>
      <c r="F28">
        <f>result_population__614[[#This Row],[Constr1]]</f>
        <v>6</v>
      </c>
      <c r="J28">
        <f>VALUE(_xlfn.TEXTBEFORE(result_population!J28,","))</f>
        <v>0</v>
      </c>
      <c r="K28">
        <f>VALUE(_xlfn.TEXTBEFORE(result_population!K28,","))</f>
        <v>2</v>
      </c>
      <c r="L28">
        <f>VALUE(_xlfn.TEXTBEFORE(result_population!L28,","))</f>
        <v>-6</v>
      </c>
      <c r="M28">
        <f>VALUE(_xlfn.TEXTBEFORE(result_population!M28,","))</f>
        <v>-12</v>
      </c>
      <c r="N28">
        <f>result_population__818[[#This Row],[Constr1]]</f>
        <v>4</v>
      </c>
      <c r="R28">
        <f>VALUE(_xlfn.TEXTBEFORE(result_population!R28,","))</f>
        <v>13</v>
      </c>
      <c r="S28">
        <f>VALUE(_xlfn.TEXTBEFORE(result_population!S28,","))</f>
        <v>16</v>
      </c>
      <c r="T28">
        <f>VALUE(_xlfn.TEXTBEFORE(result_population!V28,","))</f>
        <v>-34</v>
      </c>
      <c r="U28">
        <f>VALUE(_xlfn.TEXTBEFORE(result_population!W28,","))</f>
        <v>-22</v>
      </c>
      <c r="V28">
        <f>result_population__411[[#This Row],[Constr1]]</f>
        <v>0</v>
      </c>
    </row>
    <row r="29" spans="2:22" x14ac:dyDescent="0.3">
      <c r="B29">
        <f>VALUE(_xlfn.TEXTBEFORE(result_population!B29,","))</f>
        <v>1</v>
      </c>
      <c r="C29">
        <f>VALUE(_xlfn.TEXTBEFORE(result_population!C29,","))</f>
        <v>7</v>
      </c>
      <c r="D29">
        <f>VALUE(_xlfn.TEXTBEFORE(result_population!D29,","))</f>
        <v>3</v>
      </c>
      <c r="E29">
        <f>VALUE(_xlfn.TEXTBEFORE(result_population!E29,","))</f>
        <v>-16</v>
      </c>
      <c r="F29">
        <f>result_population__614[[#This Row],[Constr1]]</f>
        <v>3</v>
      </c>
      <c r="J29">
        <f>VALUE(_xlfn.TEXTBEFORE(result_population!J29,","))</f>
        <v>2</v>
      </c>
      <c r="K29">
        <f>VALUE(_xlfn.TEXTBEFORE(result_population!K29,","))</f>
        <v>5</v>
      </c>
      <c r="L29">
        <f>VALUE(_xlfn.TEXTBEFORE(result_population!L29,","))</f>
        <v>-3</v>
      </c>
      <c r="M29">
        <f>VALUE(_xlfn.TEXTBEFORE(result_population!M29,","))</f>
        <v>-14</v>
      </c>
      <c r="N29">
        <f>result_population__818[[#This Row],[Constr1]]</f>
        <v>1</v>
      </c>
      <c r="R29">
        <f>VALUE(_xlfn.TEXTBEFORE(result_population!R29,","))</f>
        <v>3</v>
      </c>
      <c r="S29">
        <f>VALUE(_xlfn.TEXTBEFORE(result_population!S29,","))</f>
        <v>32</v>
      </c>
      <c r="T29">
        <f>VALUE(_xlfn.TEXTBEFORE(result_population!V29,","))</f>
        <v>-42</v>
      </c>
      <c r="U29">
        <f>VALUE(_xlfn.TEXTBEFORE(result_population!W29,","))</f>
        <v>-22</v>
      </c>
      <c r="V29">
        <f>result_population__411[[#This Row],[Constr1]]</f>
        <v>1</v>
      </c>
    </row>
    <row r="30" spans="2:22" x14ac:dyDescent="0.3">
      <c r="B30">
        <f>VALUE(_xlfn.TEXTBEFORE(result_population!B30,","))</f>
        <v>5</v>
      </c>
      <c r="C30">
        <f>VALUE(_xlfn.TEXTBEFORE(result_population!C30,","))</f>
        <v>5</v>
      </c>
      <c r="D30">
        <f>VALUE(_xlfn.TEXTBEFORE(result_population!D30,","))</f>
        <v>0</v>
      </c>
      <c r="E30">
        <f>VALUE(_xlfn.TEXTBEFORE(result_population!E30,","))</f>
        <v>-16</v>
      </c>
      <c r="F30">
        <f>result_population__614[[#This Row],[Constr1]]</f>
        <v>4</v>
      </c>
      <c r="J30">
        <f>VALUE(_xlfn.TEXTBEFORE(result_population!J30,","))</f>
        <v>0</v>
      </c>
      <c r="K30">
        <f>VALUE(_xlfn.TEXTBEFORE(result_population!K30,","))</f>
        <v>3</v>
      </c>
      <c r="L30">
        <f>VALUE(_xlfn.TEXTBEFORE(result_population!L30,","))</f>
        <v>-5</v>
      </c>
      <c r="M30">
        <f>VALUE(_xlfn.TEXTBEFORE(result_population!M30,","))</f>
        <v>-11</v>
      </c>
      <c r="N30">
        <f>result_population__818[[#This Row],[Constr1]]</f>
        <v>1</v>
      </c>
      <c r="R30">
        <f>VALUE(_xlfn.TEXTBEFORE(result_population!R30,","))</f>
        <v>10</v>
      </c>
      <c r="S30">
        <f>VALUE(_xlfn.TEXTBEFORE(result_population!S30,","))</f>
        <v>18</v>
      </c>
      <c r="T30">
        <f>VALUE(_xlfn.TEXTBEFORE(result_population!V30,","))</f>
        <v>-37</v>
      </c>
      <c r="U30">
        <f>VALUE(_xlfn.TEXTBEFORE(result_population!W30,","))</f>
        <v>-22</v>
      </c>
      <c r="V30">
        <f>result_population__411[[#This Row],[Constr1]]</f>
        <v>0</v>
      </c>
    </row>
    <row r="31" spans="2:22" x14ac:dyDescent="0.3">
      <c r="B31">
        <f>VALUE(_xlfn.TEXTBEFORE(result_population!B31,","))</f>
        <v>6</v>
      </c>
      <c r="C31">
        <f>VALUE(_xlfn.TEXTBEFORE(result_population!C31,","))</f>
        <v>4</v>
      </c>
      <c r="D31">
        <f>VALUE(_xlfn.TEXTBEFORE(result_population!D31,","))</f>
        <v>0</v>
      </c>
      <c r="E31">
        <f>VALUE(_xlfn.TEXTBEFORE(result_population!E31,","))</f>
        <v>-15</v>
      </c>
      <c r="F31">
        <f>result_population__614[[#This Row],[Constr1]]</f>
        <v>3</v>
      </c>
      <c r="J31">
        <f>VALUE(_xlfn.TEXTBEFORE(result_population!J31,","))</f>
        <v>5</v>
      </c>
      <c r="K31">
        <f>VALUE(_xlfn.TEXTBEFORE(result_population!K31,","))</f>
        <v>8</v>
      </c>
      <c r="L31">
        <f>VALUE(_xlfn.TEXTBEFORE(result_population!L31,","))</f>
        <v>0</v>
      </c>
      <c r="M31">
        <f>VALUE(_xlfn.TEXTBEFORE(result_population!M31,","))</f>
        <v>-19</v>
      </c>
      <c r="N31">
        <f>result_population__818[[#This Row],[Constr1]]</f>
        <v>1</v>
      </c>
      <c r="R31">
        <f>VALUE(_xlfn.TEXTBEFORE(result_population!R31,","))</f>
        <v>7</v>
      </c>
      <c r="S31">
        <f>VALUE(_xlfn.TEXTBEFORE(result_population!S31,","))</f>
        <v>8</v>
      </c>
      <c r="T31">
        <f>VALUE(_xlfn.TEXTBEFORE(result_population!V31,","))</f>
        <v>-29</v>
      </c>
      <c r="U31">
        <f>VALUE(_xlfn.TEXTBEFORE(result_population!W31,","))</f>
        <v>-22</v>
      </c>
      <c r="V31">
        <f>result_population__411[[#This Row],[Constr1]]</f>
        <v>2</v>
      </c>
    </row>
    <row r="32" spans="2:22" x14ac:dyDescent="0.3">
      <c r="B32">
        <f>VALUE(_xlfn.TEXTBEFORE(result_population!B32,","))</f>
        <v>6</v>
      </c>
      <c r="C32">
        <f>VALUE(_xlfn.TEXTBEFORE(result_population!C32,","))</f>
        <v>5</v>
      </c>
      <c r="D32">
        <f>VALUE(_xlfn.TEXTBEFORE(result_population!D32,","))</f>
        <v>0</v>
      </c>
      <c r="E32">
        <f>VALUE(_xlfn.TEXTBEFORE(result_population!E32,","))</f>
        <v>-15</v>
      </c>
      <c r="F32">
        <f>result_population__614[[#This Row],[Constr1]]</f>
        <v>2</v>
      </c>
      <c r="J32">
        <f>VALUE(_xlfn.TEXTBEFORE(result_population!J32,","))</f>
        <v>0</v>
      </c>
      <c r="K32">
        <f>VALUE(_xlfn.TEXTBEFORE(result_population!K32,","))</f>
        <v>5</v>
      </c>
      <c r="L32">
        <f>VALUE(_xlfn.TEXTBEFORE(result_population!L32,","))</f>
        <v>-5</v>
      </c>
      <c r="M32">
        <f>VALUE(_xlfn.TEXTBEFORE(result_population!M32,","))</f>
        <v>-14</v>
      </c>
      <c r="N32">
        <f>result_population__818[[#This Row],[Constr1]]</f>
        <v>4</v>
      </c>
      <c r="R32">
        <f>VALUE(_xlfn.TEXTBEFORE(result_population!R32,","))</f>
        <v>1</v>
      </c>
      <c r="S32">
        <f>VALUE(_xlfn.TEXTBEFORE(result_population!S32,","))</f>
        <v>4</v>
      </c>
      <c r="T32">
        <f>VALUE(_xlfn.TEXTBEFORE(result_population!V32,","))</f>
        <v>-25</v>
      </c>
      <c r="U32">
        <f>VALUE(_xlfn.TEXTBEFORE(result_population!W32,","))</f>
        <v>-22</v>
      </c>
      <c r="V32">
        <f>result_population__411[[#This Row],[Constr1]]</f>
        <v>6</v>
      </c>
    </row>
    <row r="33" spans="2:22" x14ac:dyDescent="0.3">
      <c r="B33">
        <f>VALUE(_xlfn.TEXTBEFORE(result_population!B33,","))</f>
        <v>5</v>
      </c>
      <c r="C33">
        <f>VALUE(_xlfn.TEXTBEFORE(result_population!C33,","))</f>
        <v>4</v>
      </c>
      <c r="D33">
        <f>VALUE(_xlfn.TEXTBEFORE(result_population!D33,","))</f>
        <v>0</v>
      </c>
      <c r="E33">
        <f>VALUE(_xlfn.TEXTBEFORE(result_population!E33,","))</f>
        <v>-14</v>
      </c>
      <c r="F33">
        <f>result_population__614[[#This Row],[Constr1]]</f>
        <v>3</v>
      </c>
      <c r="J33">
        <f>VALUE(_xlfn.TEXTBEFORE(result_population!J33,","))</f>
        <v>1</v>
      </c>
      <c r="K33">
        <f>VALUE(_xlfn.TEXTBEFORE(result_population!K33,","))</f>
        <v>7</v>
      </c>
      <c r="L33">
        <f>VALUE(_xlfn.TEXTBEFORE(result_population!L33,","))</f>
        <v>-4</v>
      </c>
      <c r="M33">
        <f>VALUE(_xlfn.TEXTBEFORE(result_population!M33,","))</f>
        <v>-16</v>
      </c>
      <c r="N33">
        <f>result_population__818[[#This Row],[Constr1]]</f>
        <v>3</v>
      </c>
      <c r="R33">
        <f>VALUE(_xlfn.TEXTBEFORE(result_population!R33,","))</f>
        <v>6</v>
      </c>
      <c r="S33">
        <f>VALUE(_xlfn.TEXTBEFORE(result_population!S33,","))</f>
        <v>12</v>
      </c>
      <c r="T33">
        <f>VALUE(_xlfn.TEXTBEFORE(result_population!V33,","))</f>
        <v>-28</v>
      </c>
      <c r="U33">
        <f>VALUE(_xlfn.TEXTBEFORE(result_population!W33,","))</f>
        <v>-22</v>
      </c>
      <c r="V33">
        <f>result_population__411[[#This Row],[Constr1]]</f>
        <v>2</v>
      </c>
    </row>
    <row r="34" spans="2:22" x14ac:dyDescent="0.3">
      <c r="B34">
        <f>VALUE(_xlfn.TEXTBEFORE(result_population!B34,","))</f>
        <v>3</v>
      </c>
      <c r="C34">
        <f>VALUE(_xlfn.TEXTBEFORE(result_population!C34,","))</f>
        <v>5</v>
      </c>
      <c r="D34">
        <f>VALUE(_xlfn.TEXTBEFORE(result_population!D34,","))</f>
        <v>0</v>
      </c>
      <c r="E34">
        <f>VALUE(_xlfn.TEXTBEFORE(result_population!E34,","))</f>
        <v>-14</v>
      </c>
      <c r="F34">
        <f>result_population__614[[#This Row],[Constr1]]</f>
        <v>1</v>
      </c>
      <c r="J34">
        <f>VALUE(_xlfn.TEXTBEFORE(result_population!J34,","))</f>
        <v>5</v>
      </c>
      <c r="K34">
        <f>VALUE(_xlfn.TEXTBEFORE(result_population!K34,","))</f>
        <v>5</v>
      </c>
      <c r="L34">
        <f>VALUE(_xlfn.TEXTBEFORE(result_population!L34,","))</f>
        <v>-5</v>
      </c>
      <c r="M34">
        <f>VALUE(_xlfn.TEXTBEFORE(result_population!M34,","))</f>
        <v>-17</v>
      </c>
      <c r="N34">
        <f>result_population__818[[#This Row],[Constr1]]</f>
        <v>2</v>
      </c>
      <c r="R34">
        <f>VALUE(_xlfn.TEXTBEFORE(result_population!R34,","))</f>
        <v>5</v>
      </c>
      <c r="S34">
        <f>VALUE(_xlfn.TEXTBEFORE(result_population!S34,","))</f>
        <v>6</v>
      </c>
      <c r="T34">
        <f>VALUE(_xlfn.TEXTBEFORE(result_population!V34,","))</f>
        <v>-28</v>
      </c>
      <c r="U34">
        <f>VALUE(_xlfn.TEXTBEFORE(result_population!W34,","))</f>
        <v>-22</v>
      </c>
      <c r="V34">
        <f>result_population__411[[#This Row],[Constr1]]</f>
        <v>4</v>
      </c>
    </row>
    <row r="35" spans="2:22" x14ac:dyDescent="0.3">
      <c r="B35">
        <f>VALUE(_xlfn.TEXTBEFORE(result_population!B35,","))</f>
        <v>1</v>
      </c>
      <c r="C35">
        <f>VALUE(_xlfn.TEXTBEFORE(result_population!C35,","))</f>
        <v>7</v>
      </c>
      <c r="D35">
        <f>VALUE(_xlfn.TEXTBEFORE(result_population!D35,","))</f>
        <v>0</v>
      </c>
      <c r="E35">
        <f>VALUE(_xlfn.TEXTBEFORE(result_population!E35,","))</f>
        <v>-13</v>
      </c>
      <c r="F35">
        <f>result_population__614[[#This Row],[Constr1]]</f>
        <v>1</v>
      </c>
      <c r="J35">
        <f>VALUE(_xlfn.TEXTBEFORE(result_population!J35,","))</f>
        <v>4</v>
      </c>
      <c r="K35">
        <f>VALUE(_xlfn.TEXTBEFORE(result_population!K35,","))</f>
        <v>4</v>
      </c>
      <c r="L35">
        <f>VALUE(_xlfn.TEXTBEFORE(result_population!L35,","))</f>
        <v>-5</v>
      </c>
      <c r="M35">
        <f>VALUE(_xlfn.TEXTBEFORE(result_population!M35,","))</f>
        <v>-15</v>
      </c>
      <c r="N35">
        <f>result_population__818[[#This Row],[Constr1]]</f>
        <v>2</v>
      </c>
      <c r="R35">
        <f>VALUE(_xlfn.TEXTBEFORE(result_population!R35,","))</f>
        <v>8</v>
      </c>
      <c r="S35">
        <f>VALUE(_xlfn.TEXTBEFORE(result_population!S35,","))</f>
        <v>14</v>
      </c>
      <c r="T35">
        <f>VALUE(_xlfn.TEXTBEFORE(result_population!V35,","))</f>
        <v>-32</v>
      </c>
      <c r="U35">
        <f>VALUE(_xlfn.TEXTBEFORE(result_population!W35,","))</f>
        <v>-22</v>
      </c>
      <c r="V35">
        <f>result_population__411[[#This Row],[Constr1]]</f>
        <v>1</v>
      </c>
    </row>
    <row r="36" spans="2:22" x14ac:dyDescent="0.3">
      <c r="B36">
        <f>VALUE(_xlfn.TEXTBEFORE(result_population!B36,","))</f>
        <v>0</v>
      </c>
      <c r="C36">
        <f>VALUE(_xlfn.TEXTBEFORE(result_population!C36,","))</f>
        <v>3</v>
      </c>
      <c r="D36">
        <f>VALUE(_xlfn.TEXTBEFORE(result_population!D36,","))</f>
        <v>0</v>
      </c>
      <c r="E36">
        <f>VALUE(_xlfn.TEXTBEFORE(result_population!E36,","))</f>
        <v>-13</v>
      </c>
      <c r="F36">
        <f>result_population__614[[#This Row],[Constr1]]</f>
        <v>6</v>
      </c>
      <c r="J36">
        <f>VALUE(_xlfn.TEXTBEFORE(result_population!J36,","))</f>
        <v>4</v>
      </c>
      <c r="K36">
        <f>VALUE(_xlfn.TEXTBEFORE(result_population!K36,","))</f>
        <v>1</v>
      </c>
      <c r="L36">
        <f>VALUE(_xlfn.TEXTBEFORE(result_population!L36,","))</f>
        <v>-5</v>
      </c>
      <c r="M36">
        <f>VALUE(_xlfn.TEXTBEFORE(result_population!M36,","))</f>
        <v>-12</v>
      </c>
      <c r="N36">
        <f>result_population__818[[#This Row],[Constr1]]</f>
        <v>2</v>
      </c>
      <c r="R36">
        <f>VALUE(_xlfn.TEXTBEFORE(result_population!R36,","))</f>
        <v>9</v>
      </c>
      <c r="S36">
        <f>VALUE(_xlfn.TEXTBEFORE(result_population!S36,","))</f>
        <v>12</v>
      </c>
      <c r="T36">
        <f>VALUE(_xlfn.TEXTBEFORE(result_population!V36,","))</f>
        <v>-33</v>
      </c>
      <c r="U36">
        <f>VALUE(_xlfn.TEXTBEFORE(result_population!W36,","))</f>
        <v>-22</v>
      </c>
      <c r="V36">
        <f>result_population__411[[#This Row],[Constr1]]</f>
        <v>1</v>
      </c>
    </row>
    <row r="37" spans="2:22" x14ac:dyDescent="0.3">
      <c r="B37">
        <f>VALUE(_xlfn.TEXTBEFORE(result_population!B37,","))</f>
        <v>0</v>
      </c>
      <c r="C37">
        <f>VALUE(_xlfn.TEXTBEFORE(result_population!C37,","))</f>
        <v>9</v>
      </c>
      <c r="D37">
        <f>VALUE(_xlfn.TEXTBEFORE(result_population!D37,","))</f>
        <v>0</v>
      </c>
      <c r="E37">
        <f>VALUE(_xlfn.TEXTBEFORE(result_population!E37,","))</f>
        <v>-16</v>
      </c>
      <c r="F37">
        <f>result_population__614[[#This Row],[Constr1]]</f>
        <v>4</v>
      </c>
      <c r="J37">
        <f>VALUE(_xlfn.TEXTBEFORE(result_population!J37,","))</f>
        <v>5</v>
      </c>
      <c r="K37">
        <f>VALUE(_xlfn.TEXTBEFORE(result_population!K37,","))</f>
        <v>7</v>
      </c>
      <c r="L37">
        <f>VALUE(_xlfn.TEXTBEFORE(result_population!L37,","))</f>
        <v>-5</v>
      </c>
      <c r="M37">
        <f>VALUE(_xlfn.TEXTBEFORE(result_population!M37,","))</f>
        <v>-19</v>
      </c>
      <c r="N37">
        <f>result_population__818[[#This Row],[Constr1]]</f>
        <v>2</v>
      </c>
      <c r="R37">
        <f>VALUE(_xlfn.TEXTBEFORE(result_population!R37,","))</f>
        <v>3</v>
      </c>
      <c r="S37">
        <f>VALUE(_xlfn.TEXTBEFORE(result_population!S37,","))</f>
        <v>24</v>
      </c>
      <c r="T37">
        <f>VALUE(_xlfn.TEXTBEFORE(result_population!V37,","))</f>
        <v>-41</v>
      </c>
      <c r="U37">
        <f>VALUE(_xlfn.TEXTBEFORE(result_population!W37,","))</f>
        <v>-22</v>
      </c>
      <c r="V37">
        <f>result_population__411[[#This Row],[Constr1]]</f>
        <v>1</v>
      </c>
    </row>
    <row r="38" spans="2:22" x14ac:dyDescent="0.3">
      <c r="B38">
        <f>VALUE(_xlfn.TEXTBEFORE(result_population!B38,","))</f>
        <v>0</v>
      </c>
      <c r="C38">
        <f>VALUE(_xlfn.TEXTBEFORE(result_population!C38,","))</f>
        <v>8</v>
      </c>
      <c r="D38">
        <f>VALUE(_xlfn.TEXTBEFORE(result_population!D38,","))</f>
        <v>0</v>
      </c>
      <c r="E38">
        <f>VALUE(_xlfn.TEXTBEFORE(result_population!E38,","))</f>
        <v>-15</v>
      </c>
      <c r="F38">
        <f>result_population__614[[#This Row],[Constr1]]</f>
        <v>4</v>
      </c>
      <c r="J38">
        <f>VALUE(_xlfn.TEXTBEFORE(result_population!J38,","))</f>
        <v>5</v>
      </c>
      <c r="K38">
        <f>VALUE(_xlfn.TEXTBEFORE(result_population!K38,","))</f>
        <v>6</v>
      </c>
      <c r="L38">
        <f>VALUE(_xlfn.TEXTBEFORE(result_population!L38,","))</f>
        <v>-5</v>
      </c>
      <c r="M38">
        <f>VALUE(_xlfn.TEXTBEFORE(result_population!M38,","))</f>
        <v>-17</v>
      </c>
      <c r="N38">
        <f>result_population__818[[#This Row],[Constr1]]</f>
        <v>1</v>
      </c>
      <c r="R38">
        <f>VALUE(_xlfn.TEXTBEFORE(result_population!R38,","))</f>
        <v>1</v>
      </c>
      <c r="S38">
        <f>VALUE(_xlfn.TEXTBEFORE(result_population!S38,","))</f>
        <v>6</v>
      </c>
      <c r="T38">
        <f>VALUE(_xlfn.TEXTBEFORE(result_population!V38,","))</f>
        <v>-26</v>
      </c>
      <c r="U38">
        <f>VALUE(_xlfn.TEXTBEFORE(result_population!W38,","))</f>
        <v>-22</v>
      </c>
      <c r="V38">
        <f>result_population__411[[#This Row],[Constr1]]</f>
        <v>5</v>
      </c>
    </row>
    <row r="39" spans="2:22" x14ac:dyDescent="0.3">
      <c r="B39">
        <f>VALUE(_xlfn.TEXTBEFORE(result_population!B39,","))</f>
        <v>0</v>
      </c>
      <c r="C39">
        <f>VALUE(_xlfn.TEXTBEFORE(result_population!C39,","))</f>
        <v>6</v>
      </c>
      <c r="D39">
        <f>VALUE(_xlfn.TEXTBEFORE(result_population!D39,","))</f>
        <v>0</v>
      </c>
      <c r="E39">
        <f>VALUE(_xlfn.TEXTBEFORE(result_population!E39,","))</f>
        <v>-13</v>
      </c>
      <c r="F39">
        <f>result_population__614[[#This Row],[Constr1]]</f>
        <v>3</v>
      </c>
      <c r="J39">
        <f>VALUE(_xlfn.TEXTBEFORE(result_population!J39,","))</f>
        <v>5</v>
      </c>
      <c r="K39">
        <f>VALUE(_xlfn.TEXTBEFORE(result_population!K39,","))</f>
        <v>5</v>
      </c>
      <c r="L39">
        <f>VALUE(_xlfn.TEXTBEFORE(result_population!L39,","))</f>
        <v>-5</v>
      </c>
      <c r="M39">
        <f>VALUE(_xlfn.TEXTBEFORE(result_population!M39,","))</f>
        <v>-16</v>
      </c>
      <c r="N39">
        <f>result_population__818[[#This Row],[Constr1]]</f>
        <v>1</v>
      </c>
      <c r="R39">
        <f>VALUE(_xlfn.TEXTBEFORE(result_population!R39,","))</f>
        <v>5</v>
      </c>
      <c r="S39">
        <f>VALUE(_xlfn.TEXTBEFORE(result_population!S39,","))</f>
        <v>20</v>
      </c>
      <c r="T39">
        <f>VALUE(_xlfn.TEXTBEFORE(result_population!V39,","))</f>
        <v>-38</v>
      </c>
      <c r="U39">
        <f>VALUE(_xlfn.TEXTBEFORE(result_population!W39,","))</f>
        <v>-22</v>
      </c>
      <c r="V39">
        <f>result_population__411[[#This Row],[Constr1]]</f>
        <v>2</v>
      </c>
    </row>
    <row r="40" spans="2:22" x14ac:dyDescent="0.3">
      <c r="B40">
        <f>VALUE(_xlfn.TEXTBEFORE(result_population!B40,","))</f>
        <v>3</v>
      </c>
      <c r="C40">
        <f>VALUE(_xlfn.TEXTBEFORE(result_population!C40,","))</f>
        <v>10</v>
      </c>
      <c r="D40">
        <f>VALUE(_xlfn.TEXTBEFORE(result_population!D40,","))</f>
        <v>0</v>
      </c>
      <c r="E40">
        <f>VALUE(_xlfn.TEXTBEFORE(result_population!E40,","))</f>
        <v>-18</v>
      </c>
      <c r="F40">
        <f>result_population__614[[#This Row],[Constr1]]</f>
        <v>2</v>
      </c>
      <c r="J40">
        <f>VALUE(_xlfn.TEXTBEFORE(result_population!J40,","))</f>
        <v>1</v>
      </c>
      <c r="K40">
        <f>VALUE(_xlfn.TEXTBEFORE(result_population!K40,","))</f>
        <v>2</v>
      </c>
      <c r="L40">
        <f>VALUE(_xlfn.TEXTBEFORE(result_population!L40,","))</f>
        <v>0</v>
      </c>
      <c r="M40">
        <f>VALUE(_xlfn.TEXTBEFORE(result_population!M40,","))</f>
        <v>-14</v>
      </c>
      <c r="N40">
        <f>result_population__818[[#This Row],[Constr1]]</f>
        <v>4</v>
      </c>
      <c r="R40">
        <f>VALUE(_xlfn.TEXTBEFORE(result_population!R40,","))</f>
        <v>0</v>
      </c>
      <c r="S40">
        <f>VALUE(_xlfn.TEXTBEFORE(result_population!S40,","))</f>
        <v>12</v>
      </c>
      <c r="T40">
        <f>VALUE(_xlfn.TEXTBEFORE(result_population!V40,","))</f>
        <v>-31</v>
      </c>
      <c r="U40">
        <f>VALUE(_xlfn.TEXTBEFORE(result_population!W40,","))</f>
        <v>-22</v>
      </c>
      <c r="V40">
        <f>result_population__411[[#This Row],[Constr1]]</f>
        <v>4</v>
      </c>
    </row>
    <row r="41" spans="2:22" x14ac:dyDescent="0.3">
      <c r="B41">
        <f>VALUE(_xlfn.TEXTBEFORE(result_population!B41,","))</f>
        <v>4</v>
      </c>
      <c r="C41">
        <f>VALUE(_xlfn.TEXTBEFORE(result_population!C41,","))</f>
        <v>8</v>
      </c>
      <c r="D41">
        <f>VALUE(_xlfn.TEXTBEFORE(result_population!D41,","))</f>
        <v>0</v>
      </c>
      <c r="E41">
        <f>VALUE(_xlfn.TEXTBEFORE(result_population!E41,","))</f>
        <v>-16</v>
      </c>
      <c r="F41">
        <f>result_population__614[[#This Row],[Constr1]]</f>
        <v>1</v>
      </c>
      <c r="J41">
        <f>VALUE(_xlfn.TEXTBEFORE(result_population!J41,","))</f>
        <v>3</v>
      </c>
      <c r="K41">
        <f>VALUE(_xlfn.TEXTBEFORE(result_population!K41,","))</f>
        <v>3</v>
      </c>
      <c r="L41">
        <f>VALUE(_xlfn.TEXTBEFORE(result_population!L41,","))</f>
        <v>-6</v>
      </c>
      <c r="M41">
        <f>VALUE(_xlfn.TEXTBEFORE(result_population!M41,","))</f>
        <v>-13</v>
      </c>
      <c r="N41">
        <f>result_population__818[[#This Row],[Constr1]]</f>
        <v>1</v>
      </c>
      <c r="R41">
        <f>VALUE(_xlfn.TEXTBEFORE(result_population!R41,","))</f>
        <v>4</v>
      </c>
      <c r="S41">
        <f>VALUE(_xlfn.TEXTBEFORE(result_population!S41,","))</f>
        <v>14</v>
      </c>
      <c r="T41">
        <f>VALUE(_xlfn.TEXTBEFORE(result_population!V41,","))</f>
        <v>-32</v>
      </c>
      <c r="U41">
        <f>VALUE(_xlfn.TEXTBEFORE(result_population!W41,","))</f>
        <v>-22</v>
      </c>
      <c r="V41">
        <f>result_population__411[[#This Row],[Constr1]]</f>
        <v>2</v>
      </c>
    </row>
    <row r="42" spans="2:22" x14ac:dyDescent="0.3">
      <c r="B42">
        <f>VALUE(_xlfn.TEXTBEFORE(result_population!B42,","))</f>
        <v>0</v>
      </c>
      <c r="C42">
        <f>VALUE(_xlfn.TEXTBEFORE(result_population!C42,","))</f>
        <v>7</v>
      </c>
      <c r="D42">
        <f>VALUE(_xlfn.TEXTBEFORE(result_population!D42,","))</f>
        <v>0</v>
      </c>
      <c r="E42">
        <f>VALUE(_xlfn.TEXTBEFORE(result_population!E42,","))</f>
        <v>-13</v>
      </c>
      <c r="F42">
        <f>result_population__614[[#This Row],[Constr1]]</f>
        <v>2</v>
      </c>
      <c r="J42">
        <f>VALUE(_xlfn.TEXTBEFORE(result_population!J42,","))</f>
        <v>4</v>
      </c>
      <c r="K42">
        <f>VALUE(_xlfn.TEXTBEFORE(result_population!K42,","))</f>
        <v>8</v>
      </c>
      <c r="L42">
        <f>VALUE(_xlfn.TEXTBEFORE(result_population!L42,","))</f>
        <v>0</v>
      </c>
      <c r="M42">
        <f>VALUE(_xlfn.TEXTBEFORE(result_population!M42,","))</f>
        <v>-19</v>
      </c>
      <c r="N42">
        <f>result_population__818[[#This Row],[Constr1]]</f>
        <v>2</v>
      </c>
      <c r="R42">
        <f>VALUE(_xlfn.TEXTBEFORE(result_population!R42,","))</f>
        <v>6</v>
      </c>
      <c r="S42">
        <f>VALUE(_xlfn.TEXTBEFORE(result_population!S42,","))</f>
        <v>8</v>
      </c>
      <c r="T42">
        <f>VALUE(_xlfn.TEXTBEFORE(result_population!V42,","))</f>
        <v>-29</v>
      </c>
      <c r="U42">
        <f>VALUE(_xlfn.TEXTBEFORE(result_population!W42,","))</f>
        <v>-22</v>
      </c>
      <c r="V42">
        <f>result_population__411[[#This Row],[Constr1]]</f>
        <v>3</v>
      </c>
    </row>
    <row r="43" spans="2:22" x14ac:dyDescent="0.3">
      <c r="B43">
        <f>VALUE(_xlfn.TEXTBEFORE(result_population!B43,","))</f>
        <v>0</v>
      </c>
      <c r="C43">
        <f>VALUE(_xlfn.TEXTBEFORE(result_population!C43,","))</f>
        <v>5</v>
      </c>
      <c r="D43">
        <f>VALUE(_xlfn.TEXTBEFORE(result_population!D43,","))</f>
        <v>0</v>
      </c>
      <c r="E43">
        <f>VALUE(_xlfn.TEXTBEFORE(result_population!E43,","))</f>
        <v>-11</v>
      </c>
      <c r="F43">
        <f>result_population__614[[#This Row],[Constr1]]</f>
        <v>1</v>
      </c>
      <c r="J43">
        <f>VALUE(_xlfn.TEXTBEFORE(result_population!J43,","))</f>
        <v>4</v>
      </c>
      <c r="K43">
        <f>VALUE(_xlfn.TEXTBEFORE(result_population!K43,","))</f>
        <v>5</v>
      </c>
      <c r="L43">
        <f>VALUE(_xlfn.TEXTBEFORE(result_population!L43,","))</f>
        <v>-5</v>
      </c>
      <c r="M43">
        <f>VALUE(_xlfn.TEXTBEFORE(result_population!M43,","))</f>
        <v>-15</v>
      </c>
      <c r="N43">
        <f>result_population__818[[#This Row],[Constr1]]</f>
        <v>1</v>
      </c>
      <c r="R43">
        <f>VALUE(_xlfn.TEXTBEFORE(result_population!R43,","))</f>
        <v>1</v>
      </c>
      <c r="S43">
        <f>VALUE(_xlfn.TEXTBEFORE(result_population!S43,","))</f>
        <v>22</v>
      </c>
      <c r="T43">
        <f>VALUE(_xlfn.TEXTBEFORE(result_population!V43,","))</f>
        <v>-33</v>
      </c>
      <c r="U43">
        <f>VALUE(_xlfn.TEXTBEFORE(result_population!W43,","))</f>
        <v>-22</v>
      </c>
      <c r="V43">
        <f>result_population__411[[#This Row],[Constr1]]</f>
        <v>2</v>
      </c>
    </row>
    <row r="44" spans="2:22" x14ac:dyDescent="0.3">
      <c r="B44">
        <f>VALUE(_xlfn.TEXTBEFORE(result_population!B44,","))</f>
        <v>4</v>
      </c>
      <c r="C44">
        <f>VALUE(_xlfn.TEXTBEFORE(result_population!C44,","))</f>
        <v>7</v>
      </c>
      <c r="D44">
        <f>VALUE(_xlfn.TEXTBEFORE(result_population!D44,","))</f>
        <v>0</v>
      </c>
      <c r="E44">
        <f>VALUE(_xlfn.TEXTBEFORE(result_population!E44,","))</f>
        <v>-15</v>
      </c>
      <c r="F44">
        <f>result_population__614[[#This Row],[Constr1]]</f>
        <v>1</v>
      </c>
      <c r="J44">
        <f>VALUE(_xlfn.TEXTBEFORE(result_population!J44,","))</f>
        <v>4</v>
      </c>
      <c r="K44">
        <f>VALUE(_xlfn.TEXTBEFORE(result_population!K44,","))</f>
        <v>6</v>
      </c>
      <c r="L44">
        <f>VALUE(_xlfn.TEXTBEFORE(result_population!L44,","))</f>
        <v>0</v>
      </c>
      <c r="M44">
        <f>VALUE(_xlfn.TEXTBEFORE(result_population!M44,","))</f>
        <v>-16</v>
      </c>
      <c r="N44">
        <f>result_population__818[[#This Row],[Constr1]]</f>
        <v>1</v>
      </c>
      <c r="R44">
        <f>VALUE(_xlfn.TEXTBEFORE(result_population!R44,","))</f>
        <v>2</v>
      </c>
      <c r="S44">
        <f>VALUE(_xlfn.TEXTBEFORE(result_population!S44,","))</f>
        <v>20</v>
      </c>
      <c r="T44">
        <f>VALUE(_xlfn.TEXTBEFORE(result_population!V44,","))</f>
        <v>-39</v>
      </c>
      <c r="U44">
        <f>VALUE(_xlfn.TEXTBEFORE(result_population!W44,","))</f>
        <v>-22</v>
      </c>
      <c r="V44">
        <f>result_population__411[[#This Row],[Constr1]]</f>
        <v>3</v>
      </c>
    </row>
    <row r="45" spans="2:22" x14ac:dyDescent="0.3">
      <c r="B45">
        <f>VALUE(_xlfn.TEXTBEFORE(result_population!B45,","))</f>
        <v>4</v>
      </c>
      <c r="C45">
        <f>VALUE(_xlfn.TEXTBEFORE(result_population!C45,","))</f>
        <v>1</v>
      </c>
      <c r="D45">
        <f>VALUE(_xlfn.TEXTBEFORE(result_population!D45,","))</f>
        <v>3</v>
      </c>
      <c r="E45">
        <f>VALUE(_xlfn.TEXTBEFORE(result_population!E45,","))</f>
        <v>-12</v>
      </c>
      <c r="F45">
        <f>result_population__614[[#This Row],[Constr1]]</f>
        <v>2</v>
      </c>
      <c r="J45">
        <f>VALUE(_xlfn.TEXTBEFORE(result_population!J45,","))</f>
        <v>1</v>
      </c>
      <c r="K45">
        <f>VALUE(_xlfn.TEXTBEFORE(result_population!K45,","))</f>
        <v>1</v>
      </c>
      <c r="L45">
        <f>VALUE(_xlfn.TEXTBEFORE(result_population!L45,","))</f>
        <v>-5</v>
      </c>
      <c r="M45">
        <f>VALUE(_xlfn.TEXTBEFORE(result_population!M45,","))</f>
        <v>-9</v>
      </c>
      <c r="N45">
        <f>result_population__818[[#This Row],[Constr1]]</f>
        <v>1</v>
      </c>
      <c r="R45">
        <f>VALUE(_xlfn.TEXTBEFORE(result_population!R45,","))</f>
        <v>6</v>
      </c>
      <c r="S45">
        <f>VALUE(_xlfn.TEXTBEFORE(result_population!S45,","))</f>
        <v>26</v>
      </c>
      <c r="T45">
        <f>VALUE(_xlfn.TEXTBEFORE(result_population!V45,","))</f>
        <v>-41</v>
      </c>
      <c r="U45">
        <f>VALUE(_xlfn.TEXTBEFORE(result_population!W45,","))</f>
        <v>-22</v>
      </c>
      <c r="V45">
        <f>result_population__411[[#This Row],[Constr1]]</f>
        <v>0</v>
      </c>
    </row>
    <row r="46" spans="2:22" x14ac:dyDescent="0.3">
      <c r="B46">
        <f>VALUE(_xlfn.TEXTBEFORE(result_population!B46,","))</f>
        <v>4</v>
      </c>
      <c r="C46">
        <f>VALUE(_xlfn.TEXTBEFORE(result_population!C46,","))</f>
        <v>2</v>
      </c>
      <c r="D46">
        <f>VALUE(_xlfn.TEXTBEFORE(result_population!D46,","))</f>
        <v>3</v>
      </c>
      <c r="E46">
        <f>VALUE(_xlfn.TEXTBEFORE(result_population!E46,","))</f>
        <v>-14</v>
      </c>
      <c r="F46">
        <f>result_population__614[[#This Row],[Constr1]]</f>
        <v>3</v>
      </c>
      <c r="J46">
        <f>VALUE(_xlfn.TEXTBEFORE(result_population!J46,","))</f>
        <v>4</v>
      </c>
      <c r="K46">
        <f>VALUE(_xlfn.TEXTBEFORE(result_population!K46,","))</f>
        <v>7</v>
      </c>
      <c r="L46">
        <f>VALUE(_xlfn.TEXTBEFORE(result_population!L46,","))</f>
        <v>-3</v>
      </c>
      <c r="M46">
        <f>VALUE(_xlfn.TEXTBEFORE(result_population!M46,","))</f>
        <v>-18</v>
      </c>
      <c r="N46">
        <f>result_population__818[[#This Row],[Constr1]]</f>
        <v>2</v>
      </c>
      <c r="R46">
        <f>VALUE(_xlfn.TEXTBEFORE(result_population!R46,","))</f>
        <v>0</v>
      </c>
      <c r="S46">
        <f>VALUE(_xlfn.TEXTBEFORE(result_population!S46,","))</f>
        <v>32</v>
      </c>
      <c r="T46">
        <f>VALUE(_xlfn.TEXTBEFORE(result_population!V46,","))</f>
        <v>-41</v>
      </c>
      <c r="U46">
        <f>VALUE(_xlfn.TEXTBEFORE(result_population!W46,","))</f>
        <v>-22</v>
      </c>
      <c r="V46">
        <f>result_population__411[[#This Row],[Constr1]]</f>
        <v>3</v>
      </c>
    </row>
    <row r="47" spans="2:22" x14ac:dyDescent="0.3">
      <c r="B47">
        <f>VALUE(_xlfn.TEXTBEFORE(result_population!B47,","))</f>
        <v>4</v>
      </c>
      <c r="C47">
        <f>VALUE(_xlfn.TEXTBEFORE(result_population!C47,","))</f>
        <v>3</v>
      </c>
      <c r="D47">
        <f>VALUE(_xlfn.TEXTBEFORE(result_population!D47,","))</f>
        <v>0</v>
      </c>
      <c r="E47">
        <f>VALUE(_xlfn.TEXTBEFORE(result_population!E47,","))</f>
        <v>-12</v>
      </c>
      <c r="F47">
        <f>result_population__614[[#This Row],[Constr1]]</f>
        <v>1</v>
      </c>
      <c r="J47">
        <f>VALUE(_xlfn.TEXTBEFORE(result_population!J47,","))</f>
        <v>0</v>
      </c>
      <c r="K47">
        <f>VALUE(_xlfn.TEXTBEFORE(result_population!K47,","))</f>
        <v>2</v>
      </c>
      <c r="L47">
        <f>VALUE(_xlfn.TEXTBEFORE(result_population!L47,","))</f>
        <v>-5</v>
      </c>
      <c r="M47">
        <f>VALUE(_xlfn.TEXTBEFORE(result_population!M47,","))</f>
        <v>-10</v>
      </c>
      <c r="N47">
        <f>result_population__818[[#This Row],[Constr1]]</f>
        <v>1</v>
      </c>
      <c r="R47">
        <f>VALUE(_xlfn.TEXTBEFORE(result_population!R47,","))</f>
        <v>3</v>
      </c>
      <c r="S47">
        <f>VALUE(_xlfn.TEXTBEFORE(result_population!S47,","))</f>
        <v>36</v>
      </c>
      <c r="T47">
        <f>VALUE(_xlfn.TEXTBEFORE(result_population!V47,","))</f>
        <v>-44</v>
      </c>
      <c r="U47">
        <f>VALUE(_xlfn.TEXTBEFORE(result_population!W47,","))</f>
        <v>-22</v>
      </c>
      <c r="V47">
        <f>result_population__411[[#This Row],[Constr1]]</f>
        <v>0</v>
      </c>
    </row>
    <row r="48" spans="2:22" x14ac:dyDescent="0.3">
      <c r="B48">
        <f>VALUE(_xlfn.TEXTBEFORE(result_population!B48,","))</f>
        <v>3</v>
      </c>
      <c r="C48">
        <f>VALUE(_xlfn.TEXTBEFORE(result_population!C48,","))</f>
        <v>4</v>
      </c>
      <c r="D48">
        <f>VALUE(_xlfn.TEXTBEFORE(result_population!D48,","))</f>
        <v>0</v>
      </c>
      <c r="E48">
        <f>VALUE(_xlfn.TEXTBEFORE(result_population!E48,","))</f>
        <v>-13</v>
      </c>
      <c r="F48">
        <f>result_population__614[[#This Row],[Constr1]]</f>
        <v>1</v>
      </c>
      <c r="J48">
        <f>VALUE(_xlfn.TEXTBEFORE(result_population!J48,","))</f>
        <v>4</v>
      </c>
      <c r="K48">
        <f>VALUE(_xlfn.TEXTBEFORE(result_population!K48,","))</f>
        <v>5</v>
      </c>
      <c r="L48">
        <f>VALUE(_xlfn.TEXTBEFORE(result_population!L48,","))</f>
        <v>-5</v>
      </c>
      <c r="M48">
        <f>VALUE(_xlfn.TEXTBEFORE(result_population!M48,","))</f>
        <v>-16</v>
      </c>
      <c r="N48">
        <f>result_population__818[[#This Row],[Constr1]]</f>
        <v>2</v>
      </c>
      <c r="R48">
        <f>VALUE(_xlfn.TEXTBEFORE(result_population!R48,","))</f>
        <v>1</v>
      </c>
      <c r="S48">
        <f>VALUE(_xlfn.TEXTBEFORE(result_population!S48,","))</f>
        <v>42</v>
      </c>
      <c r="T48">
        <f>VALUE(_xlfn.TEXTBEFORE(result_population!V48,","))</f>
        <v>-41</v>
      </c>
      <c r="U48">
        <f>VALUE(_xlfn.TEXTBEFORE(result_population!W48,","))</f>
        <v>-22</v>
      </c>
      <c r="V48">
        <f>result_population__411[[#This Row],[Constr1]]</f>
        <v>1</v>
      </c>
    </row>
    <row r="49" spans="2:22" x14ac:dyDescent="0.3">
      <c r="B49">
        <f>VALUE(_xlfn.TEXTBEFORE(result_population!B49,","))</f>
        <v>1</v>
      </c>
      <c r="C49">
        <f>VALUE(_xlfn.TEXTBEFORE(result_population!C49,","))</f>
        <v>6</v>
      </c>
      <c r="D49">
        <f>VALUE(_xlfn.TEXTBEFORE(result_population!D49,","))</f>
        <v>0</v>
      </c>
      <c r="E49">
        <f>VALUE(_xlfn.TEXTBEFORE(result_population!E49,","))</f>
        <v>-15</v>
      </c>
      <c r="F49">
        <f>result_population__614[[#This Row],[Constr1]]</f>
        <v>6</v>
      </c>
      <c r="J49">
        <f>VALUE(_xlfn.TEXTBEFORE(result_population!J49,","))</f>
        <v>3</v>
      </c>
      <c r="K49">
        <f>VALUE(_xlfn.TEXTBEFORE(result_population!K49,","))</f>
        <v>1</v>
      </c>
      <c r="L49">
        <f>VALUE(_xlfn.TEXTBEFORE(result_population!L49,","))</f>
        <v>-5</v>
      </c>
      <c r="M49">
        <f>VALUE(_xlfn.TEXTBEFORE(result_population!M49,","))</f>
        <v>-12</v>
      </c>
      <c r="N49">
        <f>result_population__818[[#This Row],[Constr1]]</f>
        <v>3</v>
      </c>
      <c r="R49">
        <f>VALUE(_xlfn.TEXTBEFORE(result_population!R49,","))</f>
        <v>0</v>
      </c>
      <c r="S49">
        <f>VALUE(_xlfn.TEXTBEFORE(result_population!S49,","))</f>
        <v>50</v>
      </c>
      <c r="T49">
        <f>VALUE(_xlfn.TEXTBEFORE(result_population!V49,","))</f>
        <v>-42</v>
      </c>
      <c r="U49">
        <f>VALUE(_xlfn.TEXTBEFORE(result_population!W49,","))</f>
        <v>-22</v>
      </c>
      <c r="V49">
        <f>result_population__411[[#This Row],[Constr1]]</f>
        <v>2</v>
      </c>
    </row>
    <row r="50" spans="2:22" x14ac:dyDescent="0.3">
      <c r="B50">
        <f>VALUE(_xlfn.TEXTBEFORE(result_population!B50,","))</f>
        <v>1</v>
      </c>
      <c r="C50">
        <f>VALUE(_xlfn.TEXTBEFORE(result_population!C50,","))</f>
        <v>3</v>
      </c>
      <c r="D50">
        <f>VALUE(_xlfn.TEXTBEFORE(result_population!D50,","))</f>
        <v>0</v>
      </c>
      <c r="E50">
        <f>VALUE(_xlfn.TEXTBEFORE(result_population!E50,","))</f>
        <v>-11</v>
      </c>
      <c r="F50">
        <f>result_population__614[[#This Row],[Constr1]]</f>
        <v>1</v>
      </c>
      <c r="J50">
        <f>VALUE(_xlfn.TEXTBEFORE(result_population!J50,","))</f>
        <v>1</v>
      </c>
      <c r="K50">
        <f>VALUE(_xlfn.TEXTBEFORE(result_population!K50,","))</f>
        <v>1</v>
      </c>
      <c r="L50">
        <f>VALUE(_xlfn.TEXTBEFORE(result_population!L50,","))</f>
        <v>-5</v>
      </c>
      <c r="M50">
        <f>VALUE(_xlfn.TEXTBEFORE(result_population!M50,","))</f>
        <v>-10</v>
      </c>
      <c r="N50">
        <f>result_population__818[[#This Row],[Constr1]]</f>
        <v>2</v>
      </c>
      <c r="R50">
        <f>VALUE(_xlfn.TEXTBEFORE(result_population!R50,","))</f>
        <v>0</v>
      </c>
      <c r="S50">
        <f>VALUE(_xlfn.TEXTBEFORE(result_population!S50,","))</f>
        <v>10</v>
      </c>
      <c r="T50">
        <f>VALUE(_xlfn.TEXTBEFORE(result_population!V50,","))</f>
        <v>-31</v>
      </c>
      <c r="U50">
        <f>VALUE(_xlfn.TEXTBEFORE(result_population!W50,","))</f>
        <v>-22</v>
      </c>
      <c r="V50">
        <f>result_population__411[[#This Row],[Constr1]]</f>
        <v>5</v>
      </c>
    </row>
    <row r="51" spans="2:22" x14ac:dyDescent="0.3">
      <c r="B51">
        <f>VALUE(_xlfn.TEXTBEFORE(result_population!B51,","))</f>
        <v>2</v>
      </c>
      <c r="C51">
        <f>VALUE(_xlfn.TEXTBEFORE(result_population!C51,","))</f>
        <v>1</v>
      </c>
      <c r="D51">
        <f>VALUE(_xlfn.TEXTBEFORE(result_population!D51,","))</f>
        <v>0</v>
      </c>
      <c r="E51">
        <f>VALUE(_xlfn.TEXTBEFORE(result_population!E51,","))</f>
        <v>-8</v>
      </c>
      <c r="F51">
        <f>result_population__614[[#This Row],[Constr1]]</f>
        <v>1</v>
      </c>
      <c r="J51">
        <f>VALUE(_xlfn.TEXTBEFORE(result_population!J51,","))</f>
        <v>2</v>
      </c>
      <c r="K51">
        <f>VALUE(_xlfn.TEXTBEFORE(result_population!K51,","))</f>
        <v>2</v>
      </c>
      <c r="L51">
        <f>VALUE(_xlfn.TEXTBEFORE(result_population!L51,","))</f>
        <v>-6</v>
      </c>
      <c r="M51">
        <f>VALUE(_xlfn.TEXTBEFORE(result_population!M51,","))</f>
        <v>-12</v>
      </c>
      <c r="N51">
        <f>result_population__818[[#This Row],[Constr1]]</f>
        <v>2</v>
      </c>
      <c r="R51">
        <f>VALUE(_xlfn.TEXTBEFORE(result_population!R51,","))</f>
        <v>9</v>
      </c>
      <c r="S51">
        <f>VALUE(_xlfn.TEXTBEFORE(result_population!S51,","))</f>
        <v>22</v>
      </c>
      <c r="T51">
        <f>VALUE(_xlfn.TEXTBEFORE(result_population!V51,","))</f>
        <v>-38</v>
      </c>
      <c r="U51">
        <f>VALUE(_xlfn.TEXTBEFORE(result_population!W51,","))</f>
        <v>-22</v>
      </c>
      <c r="V51">
        <f>result_population__411[[#This Row],[Constr1]]</f>
        <v>0</v>
      </c>
    </row>
    <row r="52" spans="2:22" x14ac:dyDescent="0.3">
      <c r="B52">
        <f>VALUE(_xlfn.TEXTBEFORE(result_population!B52,","))</f>
        <v>1</v>
      </c>
      <c r="C52">
        <f>VALUE(_xlfn.TEXTBEFORE(result_population!C52,","))</f>
        <v>1</v>
      </c>
      <c r="D52">
        <f>VALUE(_xlfn.TEXTBEFORE(result_population!D52,","))</f>
        <v>0</v>
      </c>
      <c r="E52">
        <f>VALUE(_xlfn.TEXTBEFORE(result_population!E52,","))</f>
        <v>-7</v>
      </c>
      <c r="F52">
        <f>result_population__614[[#This Row],[Constr1]]</f>
        <v>1</v>
      </c>
      <c r="J52">
        <f>VALUE(_xlfn.TEXTBEFORE(result_population!J52,","))</f>
        <v>0</v>
      </c>
      <c r="K52">
        <f>VALUE(_xlfn.TEXTBEFORE(result_population!K52,","))</f>
        <v>3</v>
      </c>
      <c r="L52">
        <f>VALUE(_xlfn.TEXTBEFORE(result_population!L52,","))</f>
        <v>-5</v>
      </c>
      <c r="M52">
        <f>VALUE(_xlfn.TEXTBEFORE(result_population!M52,","))</f>
        <v>-13</v>
      </c>
      <c r="N52">
        <f>result_population__818[[#This Row],[Constr1]]</f>
        <v>4</v>
      </c>
      <c r="R52">
        <f>VALUE(_xlfn.TEXTBEFORE(result_population!R52,","))</f>
        <v>0</v>
      </c>
      <c r="S52">
        <f>VALUE(_xlfn.TEXTBEFORE(result_population!S52,","))</f>
        <v>36</v>
      </c>
      <c r="T52">
        <f>VALUE(_xlfn.TEXTBEFORE(result_population!V52,","))</f>
        <v>-34</v>
      </c>
      <c r="U52">
        <f>VALUE(_xlfn.TEXTBEFORE(result_population!W52,","))</f>
        <v>-22</v>
      </c>
      <c r="V52">
        <f>result_population__411[[#This Row],[Constr1]]</f>
        <v>2</v>
      </c>
    </row>
    <row r="53" spans="2:22" x14ac:dyDescent="0.3">
      <c r="B53">
        <f>VALUE(_xlfn.TEXTBEFORE(result_population!B53,","))</f>
        <v>1</v>
      </c>
      <c r="C53">
        <f>VALUE(_xlfn.TEXTBEFORE(result_population!C53,","))</f>
        <v>2</v>
      </c>
      <c r="D53">
        <f>VALUE(_xlfn.TEXTBEFORE(result_population!D53,","))</f>
        <v>0</v>
      </c>
      <c r="E53">
        <f>VALUE(_xlfn.TEXTBEFORE(result_population!E53,","))</f>
        <v>-10</v>
      </c>
      <c r="F53">
        <f>result_population__614[[#This Row],[Constr1]]</f>
        <v>1</v>
      </c>
      <c r="J53">
        <f>VALUE(_xlfn.TEXTBEFORE(result_population!J53,","))</f>
        <v>5</v>
      </c>
      <c r="K53">
        <f>VALUE(_xlfn.TEXTBEFORE(result_population!K53,","))</f>
        <v>3</v>
      </c>
      <c r="L53">
        <f>VALUE(_xlfn.TEXTBEFORE(result_population!L53,","))</f>
        <v>-5</v>
      </c>
      <c r="M53">
        <f>VALUE(_xlfn.TEXTBEFORE(result_population!M53,","))</f>
        <v>-15</v>
      </c>
      <c r="N53">
        <f>result_population__818[[#This Row],[Constr1]]</f>
        <v>2</v>
      </c>
      <c r="R53">
        <f>VALUE(_xlfn.TEXTBEFORE(result_population!R53,","))</f>
        <v>4</v>
      </c>
      <c r="S53">
        <f>VALUE(_xlfn.TEXTBEFORE(result_population!S53,","))</f>
        <v>34</v>
      </c>
      <c r="T53">
        <f>VALUE(_xlfn.TEXTBEFORE(result_population!V53,","))</f>
        <v>-43</v>
      </c>
      <c r="U53">
        <f>VALUE(_xlfn.TEXTBEFORE(result_population!W53,","))</f>
        <v>-22</v>
      </c>
      <c r="V53">
        <f>result_population__411[[#This Row],[Constr1]]</f>
        <v>0</v>
      </c>
    </row>
    <row r="54" spans="2:22" x14ac:dyDescent="0.3">
      <c r="B54">
        <f>VALUE(_xlfn.TEXTBEFORE(result_population!B54,","))</f>
        <v>2</v>
      </c>
      <c r="C54">
        <f>VALUE(_xlfn.TEXTBEFORE(result_population!C54,","))</f>
        <v>5</v>
      </c>
      <c r="D54">
        <f>VALUE(_xlfn.TEXTBEFORE(result_population!D54,","))</f>
        <v>0</v>
      </c>
      <c r="E54">
        <f>VALUE(_xlfn.TEXTBEFORE(result_population!E54,","))</f>
        <v>-16</v>
      </c>
      <c r="F54">
        <f>result_population__614[[#This Row],[Constr1]]</f>
        <v>7</v>
      </c>
      <c r="J54">
        <f>VALUE(_xlfn.TEXTBEFORE(result_population!J54,","))</f>
        <v>5</v>
      </c>
      <c r="K54">
        <f>VALUE(_xlfn.TEXTBEFORE(result_population!K54,","))</f>
        <v>2</v>
      </c>
      <c r="L54">
        <f>VALUE(_xlfn.TEXTBEFORE(result_population!L54,","))</f>
        <v>-5</v>
      </c>
      <c r="M54">
        <f>VALUE(_xlfn.TEXTBEFORE(result_population!M54,","))</f>
        <v>-13</v>
      </c>
      <c r="N54">
        <f>result_population__818[[#This Row],[Constr1]]</f>
        <v>1</v>
      </c>
      <c r="R54">
        <f>VALUE(_xlfn.TEXTBEFORE(result_population!R54,","))</f>
        <v>0</v>
      </c>
      <c r="S54">
        <f>VALUE(_xlfn.TEXTBEFORE(result_population!S54,","))</f>
        <v>6</v>
      </c>
      <c r="T54">
        <f>VALUE(_xlfn.TEXTBEFORE(result_population!V54,","))</f>
        <v>-22</v>
      </c>
      <c r="U54">
        <f>VALUE(_xlfn.TEXTBEFORE(result_population!W54,","))</f>
        <v>-22</v>
      </c>
      <c r="V54">
        <f>result_population__411[[#This Row],[Constr1]]</f>
        <v>6</v>
      </c>
    </row>
    <row r="55" spans="2:22" x14ac:dyDescent="0.3">
      <c r="B55">
        <f>VALUE(_xlfn.TEXTBEFORE(result_population!B55,","))</f>
        <v>4</v>
      </c>
      <c r="C55">
        <f>VALUE(_xlfn.TEXTBEFORE(result_population!C55,","))</f>
        <v>7</v>
      </c>
      <c r="D55">
        <f>VALUE(_xlfn.TEXTBEFORE(result_population!D55,","))</f>
        <v>0</v>
      </c>
      <c r="E55">
        <f>VALUE(_xlfn.TEXTBEFORE(result_population!E55,","))</f>
        <v>-17</v>
      </c>
      <c r="F55">
        <f>result_population__614[[#This Row],[Constr1]]</f>
        <v>4</v>
      </c>
      <c r="J55">
        <f>VALUE(_xlfn.TEXTBEFORE(result_population!J55,","))</f>
        <v>4</v>
      </c>
      <c r="K55">
        <f>VALUE(_xlfn.TEXTBEFORE(result_population!K55,","))</f>
        <v>4</v>
      </c>
      <c r="L55">
        <f>VALUE(_xlfn.TEXTBEFORE(result_population!L55,","))</f>
        <v>-5</v>
      </c>
      <c r="M55">
        <f>VALUE(_xlfn.TEXTBEFORE(result_population!M55,","))</f>
        <v>-14</v>
      </c>
      <c r="N55">
        <f>result_population__818[[#This Row],[Constr1]]</f>
        <v>1</v>
      </c>
      <c r="R55">
        <f>VALUE(_xlfn.TEXTBEFORE(result_population!R55,","))</f>
        <v>0</v>
      </c>
      <c r="S55">
        <f>VALUE(_xlfn.TEXTBEFORE(result_population!S55,","))</f>
        <v>14</v>
      </c>
      <c r="T55">
        <f>VALUE(_xlfn.TEXTBEFORE(result_population!V55,","))</f>
        <v>-36</v>
      </c>
      <c r="U55">
        <f>VALUE(_xlfn.TEXTBEFORE(result_population!W55,","))</f>
        <v>-22</v>
      </c>
      <c r="V55">
        <f>result_population__411[[#This Row],[Constr1]]</f>
        <v>4</v>
      </c>
    </row>
    <row r="56" spans="2:22" x14ac:dyDescent="0.3">
      <c r="B56">
        <f>VALUE(_xlfn.TEXTBEFORE(result_population!B56,","))</f>
        <v>7</v>
      </c>
      <c r="C56">
        <f>VALUE(_xlfn.TEXTBEFORE(result_population!C56,","))</f>
        <v>6</v>
      </c>
      <c r="D56">
        <f>VALUE(_xlfn.TEXTBEFORE(result_population!D56,","))</f>
        <v>0</v>
      </c>
      <c r="E56">
        <f>VALUE(_xlfn.TEXTBEFORE(result_population!E56,","))</f>
        <v>-17</v>
      </c>
      <c r="F56">
        <f>result_population__614[[#This Row],[Constr1]]</f>
        <v>2</v>
      </c>
      <c r="J56">
        <f>VALUE(_xlfn.TEXTBEFORE(result_population!J56,","))</f>
        <v>1</v>
      </c>
      <c r="K56">
        <f>VALUE(_xlfn.TEXTBEFORE(result_population!K56,","))</f>
        <v>2</v>
      </c>
      <c r="L56">
        <f>VALUE(_xlfn.TEXTBEFORE(result_population!L56,","))</f>
        <v>-5</v>
      </c>
      <c r="M56">
        <f>VALUE(_xlfn.TEXTBEFORE(result_population!M56,","))</f>
        <v>-11</v>
      </c>
      <c r="N56">
        <f>result_population__818[[#This Row],[Constr1]]</f>
        <v>1</v>
      </c>
      <c r="R56">
        <f>VALUE(_xlfn.TEXTBEFORE(result_population!R56,","))</f>
        <v>1</v>
      </c>
      <c r="S56">
        <f>VALUE(_xlfn.TEXTBEFORE(result_population!S56,","))</f>
        <v>20</v>
      </c>
      <c r="T56">
        <f>VALUE(_xlfn.TEXTBEFORE(result_population!V56,","))</f>
        <v>-39</v>
      </c>
      <c r="U56">
        <f>VALUE(_xlfn.TEXTBEFORE(result_population!W56,","))</f>
        <v>-22</v>
      </c>
      <c r="V56">
        <f>result_population__411[[#This Row],[Constr1]]</f>
        <v>4</v>
      </c>
    </row>
    <row r="57" spans="2:22" x14ac:dyDescent="0.3">
      <c r="B57">
        <f>VALUE(_xlfn.TEXTBEFORE(result_population!B57,","))</f>
        <v>6</v>
      </c>
      <c r="C57">
        <f>VALUE(_xlfn.TEXTBEFORE(result_population!C57,","))</f>
        <v>4</v>
      </c>
      <c r="D57">
        <f>VALUE(_xlfn.TEXTBEFORE(result_population!D57,","))</f>
        <v>0</v>
      </c>
      <c r="E57">
        <f>VALUE(_xlfn.TEXTBEFORE(result_population!E57,","))</f>
        <v>-14</v>
      </c>
      <c r="F57">
        <f>result_population__614[[#This Row],[Constr1]]</f>
        <v>2</v>
      </c>
      <c r="J57">
        <f>VALUE(_xlfn.TEXTBEFORE(result_population!J57,","))</f>
        <v>5</v>
      </c>
      <c r="K57">
        <f>VALUE(_xlfn.TEXTBEFORE(result_population!K57,","))</f>
        <v>2</v>
      </c>
      <c r="L57">
        <f>VALUE(_xlfn.TEXTBEFORE(result_population!L57,","))</f>
        <v>-5</v>
      </c>
      <c r="M57">
        <f>VALUE(_xlfn.TEXTBEFORE(result_population!M57,","))</f>
        <v>-15</v>
      </c>
      <c r="N57">
        <f>result_population__818[[#This Row],[Constr1]]</f>
        <v>3</v>
      </c>
      <c r="R57">
        <f>VALUE(_xlfn.TEXTBEFORE(result_population!R57,","))</f>
        <v>1</v>
      </c>
      <c r="S57">
        <f>VALUE(_xlfn.TEXTBEFORE(result_population!S57,","))</f>
        <v>16</v>
      </c>
      <c r="T57">
        <f>VALUE(_xlfn.TEXTBEFORE(result_population!V57,","))</f>
        <v>-37</v>
      </c>
      <c r="U57">
        <f>VALUE(_xlfn.TEXTBEFORE(result_population!W57,","))</f>
        <v>-22</v>
      </c>
      <c r="V57">
        <f>result_population__411[[#This Row],[Constr1]]</f>
        <v>3</v>
      </c>
    </row>
    <row r="58" spans="2:22" x14ac:dyDescent="0.3">
      <c r="B58">
        <f>VALUE(_xlfn.TEXTBEFORE(result_population!B58,","))</f>
        <v>5</v>
      </c>
      <c r="C58">
        <f>VALUE(_xlfn.TEXTBEFORE(result_population!C58,","))</f>
        <v>6</v>
      </c>
      <c r="D58">
        <f>VALUE(_xlfn.TEXTBEFORE(result_population!D58,","))</f>
        <v>0</v>
      </c>
      <c r="E58">
        <f>VALUE(_xlfn.TEXTBEFORE(result_population!E58,","))</f>
        <v>-17</v>
      </c>
      <c r="F58">
        <f>result_population__614[[#This Row],[Constr1]]</f>
        <v>3</v>
      </c>
      <c r="J58">
        <f>VALUE(_xlfn.TEXTBEFORE(result_population!J58,","))</f>
        <v>4</v>
      </c>
      <c r="K58">
        <f>VALUE(_xlfn.TEXTBEFORE(result_population!K58,","))</f>
        <v>3</v>
      </c>
      <c r="L58">
        <f>VALUE(_xlfn.TEXTBEFORE(result_population!L58,","))</f>
        <v>-5</v>
      </c>
      <c r="M58">
        <f>VALUE(_xlfn.TEXTBEFORE(result_population!M58,","))</f>
        <v>-15</v>
      </c>
      <c r="N58">
        <f>result_population__818[[#This Row],[Constr1]]</f>
        <v>3</v>
      </c>
      <c r="R58">
        <f>VALUE(_xlfn.TEXTBEFORE(result_population!R58,","))</f>
        <v>4</v>
      </c>
      <c r="S58">
        <f>VALUE(_xlfn.TEXTBEFORE(result_population!S58,","))</f>
        <v>20</v>
      </c>
      <c r="T58">
        <f>VALUE(_xlfn.TEXTBEFORE(result_population!V58,","))</f>
        <v>-35</v>
      </c>
      <c r="U58">
        <f>VALUE(_xlfn.TEXTBEFORE(result_population!W58,","))</f>
        <v>-22</v>
      </c>
      <c r="V58">
        <f>result_population__411[[#This Row],[Constr1]]</f>
        <v>1</v>
      </c>
    </row>
    <row r="59" spans="2:22" x14ac:dyDescent="0.3">
      <c r="B59">
        <f>VALUE(_xlfn.TEXTBEFORE(result_population!B59,","))</f>
        <v>1</v>
      </c>
      <c r="C59">
        <f>VALUE(_xlfn.TEXTBEFORE(result_population!C59,","))</f>
        <v>3</v>
      </c>
      <c r="D59">
        <f>VALUE(_xlfn.TEXTBEFORE(result_population!D59,","))</f>
        <v>0</v>
      </c>
      <c r="E59">
        <f>VALUE(_xlfn.TEXTBEFORE(result_population!E59,","))</f>
        <v>-14</v>
      </c>
      <c r="F59">
        <f>result_population__614[[#This Row],[Constr1]]</f>
        <v>6</v>
      </c>
      <c r="J59">
        <f>VALUE(_xlfn.TEXTBEFORE(result_population!J59,","))</f>
        <v>3</v>
      </c>
      <c r="K59">
        <f>VALUE(_xlfn.TEXTBEFORE(result_population!K59,","))</f>
        <v>3</v>
      </c>
      <c r="L59">
        <f>VALUE(_xlfn.TEXTBEFORE(result_population!L59,","))</f>
        <v>-4</v>
      </c>
      <c r="M59">
        <f>VALUE(_xlfn.TEXTBEFORE(result_population!M59,","))</f>
        <v>-14</v>
      </c>
      <c r="N59">
        <f>result_population__818[[#This Row],[Constr1]]</f>
        <v>2</v>
      </c>
      <c r="R59">
        <f>VALUE(_xlfn.TEXTBEFORE(result_population!R59,","))</f>
        <v>4</v>
      </c>
      <c r="S59">
        <f>VALUE(_xlfn.TEXTBEFORE(result_population!S59,","))</f>
        <v>6</v>
      </c>
      <c r="T59">
        <f>VALUE(_xlfn.TEXTBEFORE(result_population!V59,","))</f>
        <v>-21</v>
      </c>
      <c r="U59">
        <f>VALUE(_xlfn.TEXTBEFORE(result_population!W59,","))</f>
        <v>-22</v>
      </c>
      <c r="V59">
        <f>result_population__411[[#This Row],[Constr1]]</f>
        <v>4</v>
      </c>
    </row>
    <row r="60" spans="2:22" x14ac:dyDescent="0.3">
      <c r="B60">
        <f>VALUE(_xlfn.TEXTBEFORE(result_population!B60,","))</f>
        <v>3</v>
      </c>
      <c r="C60">
        <f>VALUE(_xlfn.TEXTBEFORE(result_population!C60,","))</f>
        <v>6</v>
      </c>
      <c r="D60">
        <f>VALUE(_xlfn.TEXTBEFORE(result_population!D60,","))</f>
        <v>0</v>
      </c>
      <c r="E60">
        <f>VALUE(_xlfn.TEXTBEFORE(result_population!E60,","))</f>
        <v>-17</v>
      </c>
      <c r="F60">
        <f>result_population__614[[#This Row],[Constr1]]</f>
        <v>6</v>
      </c>
      <c r="J60">
        <f>VALUE(_xlfn.TEXTBEFORE(result_population!J60,","))</f>
        <v>1</v>
      </c>
      <c r="K60">
        <f>VALUE(_xlfn.TEXTBEFORE(result_population!K60,","))</f>
        <v>4</v>
      </c>
      <c r="L60">
        <f>VALUE(_xlfn.TEXTBEFORE(result_population!L60,","))</f>
        <v>-6</v>
      </c>
      <c r="M60">
        <f>VALUE(_xlfn.TEXTBEFORE(result_population!M60,","))</f>
        <v>-13</v>
      </c>
      <c r="N60">
        <f>result_population__818[[#This Row],[Constr1]]</f>
        <v>2</v>
      </c>
      <c r="R60">
        <f>VALUE(_xlfn.TEXTBEFORE(result_population!R60,","))</f>
        <v>2</v>
      </c>
      <c r="S60">
        <f>VALUE(_xlfn.TEXTBEFORE(result_population!S60,","))</f>
        <v>12</v>
      </c>
      <c r="T60">
        <f>VALUE(_xlfn.TEXTBEFORE(result_population!V60,","))</f>
        <v>-32</v>
      </c>
      <c r="U60">
        <f>VALUE(_xlfn.TEXTBEFORE(result_population!W60,","))</f>
        <v>-22</v>
      </c>
      <c r="V60">
        <f>result_population__411[[#This Row],[Constr1]]</f>
        <v>3</v>
      </c>
    </row>
    <row r="61" spans="2:22" x14ac:dyDescent="0.3">
      <c r="B61">
        <f>VALUE(_xlfn.TEXTBEFORE(result_population!B61,","))</f>
        <v>2</v>
      </c>
      <c r="C61">
        <f>VALUE(_xlfn.TEXTBEFORE(result_population!C61,","))</f>
        <v>9</v>
      </c>
      <c r="D61">
        <f>VALUE(_xlfn.TEXTBEFORE(result_population!D61,","))</f>
        <v>0</v>
      </c>
      <c r="E61">
        <f>VALUE(_xlfn.TEXTBEFORE(result_population!E61,","))</f>
        <v>-16</v>
      </c>
      <c r="F61">
        <f>result_population__614[[#This Row],[Constr1]]</f>
        <v>2</v>
      </c>
      <c r="J61">
        <f>VALUE(_xlfn.TEXTBEFORE(result_population!J61,","))</f>
        <v>4</v>
      </c>
      <c r="K61">
        <f>VALUE(_xlfn.TEXTBEFORE(result_population!K61,","))</f>
        <v>4</v>
      </c>
      <c r="L61">
        <f>VALUE(_xlfn.TEXTBEFORE(result_population!L61,","))</f>
        <v>-5</v>
      </c>
      <c r="M61">
        <f>VALUE(_xlfn.TEXTBEFORE(result_population!M61,","))</f>
        <v>-16</v>
      </c>
      <c r="N61">
        <f>result_population__818[[#This Row],[Constr1]]</f>
        <v>3</v>
      </c>
      <c r="R61">
        <f>VALUE(_xlfn.TEXTBEFORE(result_population!R61,","))</f>
        <v>0</v>
      </c>
      <c r="S61">
        <f>VALUE(_xlfn.TEXTBEFORE(result_population!S61,","))</f>
        <v>8</v>
      </c>
      <c r="T61">
        <f>VALUE(_xlfn.TEXTBEFORE(result_population!V61,","))</f>
        <v>-23</v>
      </c>
      <c r="U61">
        <f>VALUE(_xlfn.TEXTBEFORE(result_population!W61,","))</f>
        <v>-22</v>
      </c>
      <c r="V61">
        <f>result_population__411[[#This Row],[Constr1]]</f>
        <v>5</v>
      </c>
    </row>
    <row r="62" spans="2:22" x14ac:dyDescent="0.3">
      <c r="B62">
        <f>VALUE(_xlfn.TEXTBEFORE(result_population!B62,","))</f>
        <v>0</v>
      </c>
      <c r="C62">
        <f>VALUE(_xlfn.TEXTBEFORE(result_population!C62,","))</f>
        <v>8</v>
      </c>
      <c r="D62">
        <f>VALUE(_xlfn.TEXTBEFORE(result_population!D62,","))</f>
        <v>0</v>
      </c>
      <c r="E62">
        <f>VALUE(_xlfn.TEXTBEFORE(result_population!E62,","))</f>
        <v>-14</v>
      </c>
      <c r="F62">
        <f>result_population__614[[#This Row],[Constr1]]</f>
        <v>1</v>
      </c>
      <c r="J62">
        <f>VALUE(_xlfn.TEXTBEFORE(result_population!J62,","))</f>
        <v>4</v>
      </c>
      <c r="K62">
        <f>VALUE(_xlfn.TEXTBEFORE(result_population!K62,","))</f>
        <v>3</v>
      </c>
      <c r="L62">
        <f>VALUE(_xlfn.TEXTBEFORE(result_population!L62,","))</f>
        <v>-5</v>
      </c>
      <c r="M62">
        <f>VALUE(_xlfn.TEXTBEFORE(result_population!M62,","))</f>
        <v>-14</v>
      </c>
      <c r="N62">
        <f>result_population__818[[#This Row],[Constr1]]</f>
        <v>2</v>
      </c>
      <c r="R62">
        <f>VALUE(_xlfn.TEXTBEFORE(result_population!R62,","))</f>
        <v>2</v>
      </c>
      <c r="S62">
        <f>VALUE(_xlfn.TEXTBEFORE(result_population!S62,","))</f>
        <v>10</v>
      </c>
      <c r="T62">
        <f>VALUE(_xlfn.TEXTBEFORE(result_population!V62,","))</f>
        <v>-27</v>
      </c>
      <c r="U62">
        <f>VALUE(_xlfn.TEXTBEFORE(result_population!W62,","))</f>
        <v>-22</v>
      </c>
      <c r="V62">
        <f>result_population__411[[#This Row],[Constr1]]</f>
        <v>3</v>
      </c>
    </row>
    <row r="63" spans="2:22" x14ac:dyDescent="0.3">
      <c r="B63">
        <f>VALUE(_xlfn.TEXTBEFORE(result_population!B63,","))</f>
        <v>4</v>
      </c>
      <c r="C63">
        <f>VALUE(_xlfn.TEXTBEFORE(result_population!C63,","))</f>
        <v>1</v>
      </c>
      <c r="D63">
        <f>VALUE(_xlfn.TEXTBEFORE(result_population!D63,","))</f>
        <v>3</v>
      </c>
      <c r="E63">
        <f>VALUE(_xlfn.TEXTBEFORE(result_population!E63,","))</f>
        <v>-11</v>
      </c>
      <c r="F63">
        <f>result_population__614[[#This Row],[Constr1]]</f>
        <v>1</v>
      </c>
      <c r="J63">
        <f>VALUE(_xlfn.TEXTBEFORE(result_population!J63,","))</f>
        <v>3</v>
      </c>
      <c r="K63">
        <f>VALUE(_xlfn.TEXTBEFORE(result_population!K63,","))</f>
        <v>3</v>
      </c>
      <c r="L63">
        <f>VALUE(_xlfn.TEXTBEFORE(result_population!L63,","))</f>
        <v>-5</v>
      </c>
      <c r="M63">
        <f>VALUE(_xlfn.TEXTBEFORE(result_population!M63,","))</f>
        <v>-16</v>
      </c>
      <c r="N63">
        <f>result_population__818[[#This Row],[Constr1]]</f>
        <v>5</v>
      </c>
      <c r="R63">
        <f>VALUE(_xlfn.TEXTBEFORE(result_population!R63,","))</f>
        <v>5</v>
      </c>
      <c r="S63">
        <f>VALUE(_xlfn.TEXTBEFORE(result_population!S63,","))</f>
        <v>4</v>
      </c>
      <c r="T63">
        <f>VALUE(_xlfn.TEXTBEFORE(result_population!V63,","))</f>
        <v>-27</v>
      </c>
      <c r="U63">
        <f>VALUE(_xlfn.TEXTBEFORE(result_population!W63,","))</f>
        <v>-22</v>
      </c>
      <c r="V63">
        <f>result_population__411[[#This Row],[Constr1]]</f>
        <v>5</v>
      </c>
    </row>
    <row r="64" spans="2:22" x14ac:dyDescent="0.3">
      <c r="B64">
        <f>VALUE(_xlfn.TEXTBEFORE(result_population!B64,","))</f>
        <v>4</v>
      </c>
      <c r="C64">
        <f>VALUE(_xlfn.TEXTBEFORE(result_population!C64,","))</f>
        <v>2</v>
      </c>
      <c r="D64">
        <f>VALUE(_xlfn.TEXTBEFORE(result_population!D64,","))</f>
        <v>3</v>
      </c>
      <c r="E64">
        <f>VALUE(_xlfn.TEXTBEFORE(result_population!E64,","))</f>
        <v>-13</v>
      </c>
      <c r="F64">
        <f>result_population__614[[#This Row],[Constr1]]</f>
        <v>2</v>
      </c>
      <c r="J64">
        <f>VALUE(_xlfn.TEXTBEFORE(result_population!J64,","))</f>
        <v>1</v>
      </c>
      <c r="K64">
        <f>VALUE(_xlfn.TEXTBEFORE(result_population!K64,","))</f>
        <v>2</v>
      </c>
      <c r="L64">
        <f>VALUE(_xlfn.TEXTBEFORE(result_population!L64,","))</f>
        <v>-4</v>
      </c>
      <c r="M64">
        <f>VALUE(_xlfn.TEXTBEFORE(result_population!M64,","))</f>
        <v>-14</v>
      </c>
      <c r="N64">
        <f>result_population__818[[#This Row],[Constr1]]</f>
        <v>5</v>
      </c>
      <c r="R64">
        <f>VALUE(_xlfn.TEXTBEFORE(result_population!R64,","))</f>
        <v>0</v>
      </c>
      <c r="S64">
        <f>VALUE(_xlfn.TEXTBEFORE(result_population!S64,","))</f>
        <v>22</v>
      </c>
      <c r="T64">
        <f>VALUE(_xlfn.TEXTBEFORE(result_population!V64,","))</f>
        <v>-33</v>
      </c>
      <c r="U64">
        <f>VALUE(_xlfn.TEXTBEFORE(result_population!W64,","))</f>
        <v>-22</v>
      </c>
      <c r="V64">
        <f>result_population__411[[#This Row],[Constr1]]</f>
        <v>3</v>
      </c>
    </row>
    <row r="65" spans="2:22" x14ac:dyDescent="0.3">
      <c r="B65">
        <f>VALUE(_xlfn.TEXTBEFORE(result_population!B65,","))</f>
        <v>5</v>
      </c>
      <c r="C65">
        <f>VALUE(_xlfn.TEXTBEFORE(result_population!C65,","))</f>
        <v>5</v>
      </c>
      <c r="D65">
        <f>VALUE(_xlfn.TEXTBEFORE(result_population!D65,","))</f>
        <v>0</v>
      </c>
      <c r="E65">
        <f>VALUE(_xlfn.TEXTBEFORE(result_population!E65,","))</f>
        <v>-15</v>
      </c>
      <c r="F65">
        <f>result_population__614[[#This Row],[Constr1]]</f>
        <v>3</v>
      </c>
      <c r="J65">
        <f>VALUE(_xlfn.TEXTBEFORE(result_population!J65,","))</f>
        <v>0</v>
      </c>
      <c r="K65">
        <f>VALUE(_xlfn.TEXTBEFORE(result_population!K65,","))</f>
        <v>5</v>
      </c>
      <c r="L65">
        <f>VALUE(_xlfn.TEXTBEFORE(result_population!L65,","))</f>
        <v>-5</v>
      </c>
      <c r="M65">
        <f>VALUE(_xlfn.TEXTBEFORE(result_population!M65,","))</f>
        <v>-13</v>
      </c>
      <c r="N65">
        <f>result_population__818[[#This Row],[Constr1]]</f>
        <v>2</v>
      </c>
      <c r="R65">
        <f>VALUE(_xlfn.TEXTBEFORE(result_population!R65,","))</f>
        <v>1</v>
      </c>
      <c r="S65">
        <f>VALUE(_xlfn.TEXTBEFORE(result_population!S65,","))</f>
        <v>22</v>
      </c>
      <c r="T65">
        <f>VALUE(_xlfn.TEXTBEFORE(result_population!V65,","))</f>
        <v>-40</v>
      </c>
      <c r="U65">
        <f>VALUE(_xlfn.TEXTBEFORE(result_population!W65,","))</f>
        <v>-22</v>
      </c>
      <c r="V65">
        <f>result_population__411[[#This Row],[Constr1]]</f>
        <v>3</v>
      </c>
    </row>
    <row r="66" spans="2:22" x14ac:dyDescent="0.3">
      <c r="B66">
        <f>VALUE(_xlfn.TEXTBEFORE(result_population!B66,","))</f>
        <v>4</v>
      </c>
      <c r="C66">
        <f>VALUE(_xlfn.TEXTBEFORE(result_population!C66,","))</f>
        <v>6</v>
      </c>
      <c r="D66">
        <f>VALUE(_xlfn.TEXTBEFORE(result_population!D66,","))</f>
        <v>3</v>
      </c>
      <c r="E66">
        <f>VALUE(_xlfn.TEXTBEFORE(result_population!E66,","))</f>
        <v>-15</v>
      </c>
      <c r="F66">
        <f>result_population__614[[#This Row],[Constr1]]</f>
        <v>2</v>
      </c>
      <c r="J66">
        <f>VALUE(_xlfn.TEXTBEFORE(result_population!J66,","))</f>
        <v>2</v>
      </c>
      <c r="K66">
        <f>VALUE(_xlfn.TEXTBEFORE(result_population!K66,","))</f>
        <v>5</v>
      </c>
      <c r="L66">
        <f>VALUE(_xlfn.TEXTBEFORE(result_population!L66,","))</f>
        <v>-5</v>
      </c>
      <c r="M66">
        <f>VALUE(_xlfn.TEXTBEFORE(result_population!M66,","))</f>
        <v>-15</v>
      </c>
      <c r="N66">
        <f>result_population__818[[#This Row],[Constr1]]</f>
        <v>3</v>
      </c>
      <c r="R66">
        <f>VALUE(_xlfn.TEXTBEFORE(result_population!R66,","))</f>
        <v>2</v>
      </c>
      <c r="S66">
        <f>VALUE(_xlfn.TEXTBEFORE(result_population!S66,","))</f>
        <v>26</v>
      </c>
      <c r="T66">
        <f>VALUE(_xlfn.TEXTBEFORE(result_population!V66,","))</f>
        <v>-40</v>
      </c>
      <c r="U66">
        <f>VALUE(_xlfn.TEXTBEFORE(result_population!W66,","))</f>
        <v>-22</v>
      </c>
      <c r="V66">
        <f>result_population__411[[#This Row],[Constr1]]</f>
        <v>1</v>
      </c>
    </row>
    <row r="67" spans="2:22" x14ac:dyDescent="0.3">
      <c r="B67">
        <f>VALUE(_xlfn.TEXTBEFORE(result_population!B67,","))</f>
        <v>2</v>
      </c>
      <c r="C67">
        <f>VALUE(_xlfn.TEXTBEFORE(result_population!C67,","))</f>
        <v>5</v>
      </c>
      <c r="D67">
        <f>VALUE(_xlfn.TEXTBEFORE(result_population!D67,","))</f>
        <v>0</v>
      </c>
      <c r="E67">
        <f>VALUE(_xlfn.TEXTBEFORE(result_population!E67,","))</f>
        <v>-14</v>
      </c>
      <c r="F67">
        <f>result_population__614[[#This Row],[Constr1]]</f>
        <v>2</v>
      </c>
      <c r="J67">
        <f>VALUE(_xlfn.TEXTBEFORE(result_population!J67,","))</f>
        <v>3</v>
      </c>
      <c r="K67">
        <f>VALUE(_xlfn.TEXTBEFORE(result_population!K67,","))</f>
        <v>4</v>
      </c>
      <c r="L67">
        <f>VALUE(_xlfn.TEXTBEFORE(result_population!L67,","))</f>
        <v>0</v>
      </c>
      <c r="M67">
        <f>VALUE(_xlfn.TEXTBEFORE(result_population!M67,","))</f>
        <v>-14</v>
      </c>
      <c r="N67">
        <f>result_population__818[[#This Row],[Constr1]]</f>
        <v>1</v>
      </c>
      <c r="R67">
        <f>VALUE(_xlfn.TEXTBEFORE(result_population!R67,","))</f>
        <v>1</v>
      </c>
      <c r="S67">
        <f>VALUE(_xlfn.TEXTBEFORE(result_population!S67,","))</f>
        <v>24</v>
      </c>
      <c r="T67">
        <f>VALUE(_xlfn.TEXTBEFORE(result_population!V67,","))</f>
        <v>-39</v>
      </c>
      <c r="U67">
        <f>VALUE(_xlfn.TEXTBEFORE(result_population!W67,","))</f>
        <v>-22</v>
      </c>
      <c r="V67">
        <f>result_population__411[[#This Row],[Constr1]]</f>
        <v>2</v>
      </c>
    </row>
    <row r="68" spans="2:22" x14ac:dyDescent="0.3">
      <c r="B68">
        <f>VALUE(_xlfn.TEXTBEFORE(result_population!B68,","))</f>
        <v>0</v>
      </c>
      <c r="C68">
        <f>VALUE(_xlfn.TEXTBEFORE(result_population!C68,","))</f>
        <v>4</v>
      </c>
      <c r="D68">
        <f>VALUE(_xlfn.TEXTBEFORE(result_population!D68,","))</f>
        <v>0</v>
      </c>
      <c r="E68">
        <f>VALUE(_xlfn.TEXTBEFORE(result_population!E68,","))</f>
        <v>-10</v>
      </c>
      <c r="F68">
        <f>result_population__614[[#This Row],[Constr1]]</f>
        <v>2</v>
      </c>
      <c r="J68">
        <f>VALUE(_xlfn.TEXTBEFORE(result_population!J68,","))</f>
        <v>4</v>
      </c>
      <c r="K68">
        <f>VALUE(_xlfn.TEXTBEFORE(result_population!K68,","))</f>
        <v>1</v>
      </c>
      <c r="L68">
        <f>VALUE(_xlfn.TEXTBEFORE(result_population!L68,","))</f>
        <v>-5</v>
      </c>
      <c r="M68">
        <f>VALUE(_xlfn.TEXTBEFORE(result_population!M68,","))</f>
        <v>-13</v>
      </c>
      <c r="N68">
        <f>result_population__818[[#This Row],[Constr1]]</f>
        <v>3</v>
      </c>
      <c r="R68">
        <f>VALUE(_xlfn.TEXTBEFORE(result_population!R68,","))</f>
        <v>1</v>
      </c>
      <c r="S68">
        <f>VALUE(_xlfn.TEXTBEFORE(result_population!S68,","))</f>
        <v>32</v>
      </c>
      <c r="T68">
        <f>VALUE(_xlfn.TEXTBEFORE(result_population!V68,","))</f>
        <v>-42</v>
      </c>
      <c r="U68">
        <f>VALUE(_xlfn.TEXTBEFORE(result_population!W68,","))</f>
        <v>-22</v>
      </c>
      <c r="V68">
        <f>result_population__411[[#This Row],[Constr1]]</f>
        <v>3</v>
      </c>
    </row>
    <row r="69" spans="2:22" x14ac:dyDescent="0.3">
      <c r="B69">
        <f>VALUE(_xlfn.TEXTBEFORE(result_population!B69,","))</f>
        <v>1</v>
      </c>
      <c r="C69">
        <f>VALUE(_xlfn.TEXTBEFORE(result_population!C69,","))</f>
        <v>1</v>
      </c>
      <c r="D69">
        <f>VALUE(_xlfn.TEXTBEFORE(result_population!D69,","))</f>
        <v>0</v>
      </c>
      <c r="E69">
        <f>VALUE(_xlfn.TEXTBEFORE(result_population!E69,","))</f>
        <v>-13</v>
      </c>
      <c r="F69">
        <f>result_population__614[[#This Row],[Constr1]]</f>
        <v>7</v>
      </c>
      <c r="J69">
        <f>VALUE(_xlfn.TEXTBEFORE(result_population!J69,","))</f>
        <v>4</v>
      </c>
      <c r="K69">
        <f>VALUE(_xlfn.TEXTBEFORE(result_population!K69,","))</f>
        <v>3</v>
      </c>
      <c r="L69">
        <f>VALUE(_xlfn.TEXTBEFORE(result_population!L69,","))</f>
        <v>-5</v>
      </c>
      <c r="M69">
        <f>VALUE(_xlfn.TEXTBEFORE(result_population!M69,","))</f>
        <v>-16</v>
      </c>
      <c r="N69">
        <f>result_population__818[[#This Row],[Constr1]]</f>
        <v>4</v>
      </c>
      <c r="R69">
        <f>VALUE(_xlfn.TEXTBEFORE(result_population!R69,","))</f>
        <v>1</v>
      </c>
      <c r="S69">
        <f>VALUE(_xlfn.TEXTBEFORE(result_population!S69,","))</f>
        <v>14</v>
      </c>
      <c r="T69">
        <f>VALUE(_xlfn.TEXTBEFORE(result_population!V69,","))</f>
        <v>-36</v>
      </c>
      <c r="U69">
        <f>VALUE(_xlfn.TEXTBEFORE(result_population!W69,","))</f>
        <v>-22</v>
      </c>
      <c r="V69">
        <f>result_population__411[[#This Row],[Constr1]]</f>
        <v>3</v>
      </c>
    </row>
    <row r="70" spans="2:22" x14ac:dyDescent="0.3">
      <c r="B70">
        <f>VALUE(_xlfn.TEXTBEFORE(result_population!B70,","))</f>
        <v>3</v>
      </c>
      <c r="C70">
        <f>VALUE(_xlfn.TEXTBEFORE(result_population!C70,","))</f>
        <v>6</v>
      </c>
      <c r="D70">
        <f>VALUE(_xlfn.TEXTBEFORE(result_population!D70,","))</f>
        <v>0</v>
      </c>
      <c r="E70">
        <f>VALUE(_xlfn.TEXTBEFORE(result_population!E70,","))</f>
        <v>-15</v>
      </c>
      <c r="F70">
        <f>result_population__614[[#This Row],[Constr1]]</f>
        <v>4</v>
      </c>
      <c r="J70">
        <f>VALUE(_xlfn.TEXTBEFORE(result_population!J70,","))</f>
        <v>2</v>
      </c>
      <c r="K70">
        <f>VALUE(_xlfn.TEXTBEFORE(result_population!K70,","))</f>
        <v>4</v>
      </c>
      <c r="L70">
        <f>VALUE(_xlfn.TEXTBEFORE(result_population!L70,","))</f>
        <v>-3</v>
      </c>
      <c r="M70">
        <f>VALUE(_xlfn.TEXTBEFORE(result_population!M70,","))</f>
        <v>-14</v>
      </c>
      <c r="N70">
        <f>result_population__818[[#This Row],[Constr1]]</f>
        <v>2</v>
      </c>
      <c r="R70">
        <f>VALUE(_xlfn.TEXTBEFORE(result_population!R70,","))</f>
        <v>0</v>
      </c>
      <c r="S70">
        <f>VALUE(_xlfn.TEXTBEFORE(result_population!S70,","))</f>
        <v>40</v>
      </c>
      <c r="T70">
        <f>VALUE(_xlfn.TEXTBEFORE(result_population!V70,","))</f>
        <v>-40</v>
      </c>
      <c r="U70">
        <f>VALUE(_xlfn.TEXTBEFORE(result_population!W70,","))</f>
        <v>-22</v>
      </c>
      <c r="V70">
        <f>result_population__411[[#This Row],[Constr1]]</f>
        <v>2</v>
      </c>
    </row>
    <row r="71" spans="2:22" x14ac:dyDescent="0.3">
      <c r="B71">
        <f>VALUE(_xlfn.TEXTBEFORE(result_population!B71,","))</f>
        <v>4</v>
      </c>
      <c r="C71">
        <f>VALUE(_xlfn.TEXTBEFORE(result_population!C71,","))</f>
        <v>3</v>
      </c>
      <c r="D71">
        <f>VALUE(_xlfn.TEXTBEFORE(result_population!D71,","))</f>
        <v>3</v>
      </c>
      <c r="E71">
        <f>VALUE(_xlfn.TEXTBEFORE(result_population!E71,","))</f>
        <v>-13</v>
      </c>
      <c r="F71">
        <f>result_population__614[[#This Row],[Constr1]]</f>
        <v>1</v>
      </c>
      <c r="J71">
        <f>VALUE(_xlfn.TEXTBEFORE(result_population!J71,","))</f>
        <v>3</v>
      </c>
      <c r="K71">
        <f>VALUE(_xlfn.TEXTBEFORE(result_population!K71,","))</f>
        <v>2</v>
      </c>
      <c r="L71">
        <f>VALUE(_xlfn.TEXTBEFORE(result_population!L71,","))</f>
        <v>-5</v>
      </c>
      <c r="M71">
        <f>VALUE(_xlfn.TEXTBEFORE(result_population!M71,","))</f>
        <v>-13</v>
      </c>
      <c r="N71">
        <f>result_population__818[[#This Row],[Constr1]]</f>
        <v>2</v>
      </c>
      <c r="R71">
        <f>VALUE(_xlfn.TEXTBEFORE(result_population!R71,","))</f>
        <v>1</v>
      </c>
      <c r="S71">
        <f>VALUE(_xlfn.TEXTBEFORE(result_population!S71,","))</f>
        <v>52</v>
      </c>
      <c r="T71">
        <f>VALUE(_xlfn.TEXTBEFORE(result_population!V71,","))</f>
        <v>-44</v>
      </c>
      <c r="U71">
        <f>VALUE(_xlfn.TEXTBEFORE(result_population!W71,","))</f>
        <v>-22</v>
      </c>
      <c r="V71">
        <f>result_population__411[[#This Row],[Constr1]]</f>
        <v>1</v>
      </c>
    </row>
    <row r="72" spans="2:22" x14ac:dyDescent="0.3">
      <c r="B72">
        <f>VALUE(_xlfn.TEXTBEFORE(result_population!B72,","))</f>
        <v>4</v>
      </c>
      <c r="C72">
        <f>VALUE(_xlfn.TEXTBEFORE(result_population!C72,","))</f>
        <v>2</v>
      </c>
      <c r="D72">
        <f>VALUE(_xlfn.TEXTBEFORE(result_population!D72,","))</f>
        <v>3</v>
      </c>
      <c r="E72">
        <f>VALUE(_xlfn.TEXTBEFORE(result_population!E72,","))</f>
        <v>-12</v>
      </c>
      <c r="F72">
        <f>result_population__614[[#This Row],[Constr1]]</f>
        <v>1</v>
      </c>
      <c r="J72">
        <f>VALUE(_xlfn.TEXTBEFORE(result_population!J72,","))</f>
        <v>3</v>
      </c>
      <c r="K72">
        <f>VALUE(_xlfn.TEXTBEFORE(result_population!K72,","))</f>
        <v>6</v>
      </c>
      <c r="L72">
        <f>VALUE(_xlfn.TEXTBEFORE(result_population!L72,","))</f>
        <v>-5</v>
      </c>
      <c r="M72">
        <f>VALUE(_xlfn.TEXTBEFORE(result_population!M72,","))</f>
        <v>-15</v>
      </c>
      <c r="N72">
        <f>result_population__818[[#This Row],[Constr1]]</f>
        <v>1</v>
      </c>
      <c r="R72">
        <f>VALUE(_xlfn.TEXTBEFORE(result_population!R72,","))</f>
        <v>0</v>
      </c>
      <c r="S72">
        <f>VALUE(_xlfn.TEXTBEFORE(result_population!S72,","))</f>
        <v>24</v>
      </c>
      <c r="T72">
        <f>VALUE(_xlfn.TEXTBEFORE(result_population!V72,","))</f>
        <v>-39</v>
      </c>
      <c r="U72">
        <f>VALUE(_xlfn.TEXTBEFORE(result_population!W72,","))</f>
        <v>-22</v>
      </c>
      <c r="V72">
        <f>result_population__411[[#This Row],[Constr1]]</f>
        <v>3</v>
      </c>
    </row>
    <row r="73" spans="2:22" x14ac:dyDescent="0.3">
      <c r="B73">
        <f>VALUE(_xlfn.TEXTBEFORE(result_population!B73,","))</f>
        <v>2</v>
      </c>
      <c r="C73">
        <f>VALUE(_xlfn.TEXTBEFORE(result_population!C73,","))</f>
        <v>4</v>
      </c>
      <c r="D73">
        <f>VALUE(_xlfn.TEXTBEFORE(result_population!D73,","))</f>
        <v>0</v>
      </c>
      <c r="E73">
        <f>VALUE(_xlfn.TEXTBEFORE(result_population!E73,","))</f>
        <v>-13</v>
      </c>
      <c r="F73">
        <f>result_population__614[[#This Row],[Constr1]]</f>
        <v>2</v>
      </c>
      <c r="J73">
        <f>VALUE(_xlfn.TEXTBEFORE(result_population!J73,","))</f>
        <v>1</v>
      </c>
      <c r="K73">
        <f>VALUE(_xlfn.TEXTBEFORE(result_population!K73,","))</f>
        <v>3</v>
      </c>
      <c r="L73">
        <f>VALUE(_xlfn.TEXTBEFORE(result_population!L73,","))</f>
        <v>-6</v>
      </c>
      <c r="M73">
        <f>VALUE(_xlfn.TEXTBEFORE(result_population!M73,","))</f>
        <v>-12</v>
      </c>
      <c r="N73">
        <f>result_population__818[[#This Row],[Constr1]]</f>
        <v>2</v>
      </c>
      <c r="R73">
        <f>VALUE(_xlfn.TEXTBEFORE(result_population!R73,","))</f>
        <v>6</v>
      </c>
      <c r="S73">
        <f>VALUE(_xlfn.TEXTBEFORE(result_population!S73,","))</f>
        <v>20</v>
      </c>
      <c r="T73">
        <f>VALUE(_xlfn.TEXTBEFORE(result_population!V73,","))</f>
        <v>-38</v>
      </c>
      <c r="U73">
        <f>VALUE(_xlfn.TEXTBEFORE(result_population!W73,","))</f>
        <v>-22</v>
      </c>
      <c r="V73">
        <f>result_population__411[[#This Row],[Constr1]]</f>
        <v>1</v>
      </c>
    </row>
    <row r="74" spans="2:22" x14ac:dyDescent="0.3">
      <c r="B74">
        <f>VALUE(_xlfn.TEXTBEFORE(result_population!B74,","))</f>
        <v>0</v>
      </c>
      <c r="C74">
        <f>VALUE(_xlfn.TEXTBEFORE(result_population!C74,","))</f>
        <v>2</v>
      </c>
      <c r="D74">
        <f>VALUE(_xlfn.TEXTBEFORE(result_population!D74,","))</f>
        <v>0</v>
      </c>
      <c r="E74">
        <f>VALUE(_xlfn.TEXTBEFORE(result_population!E74,","))</f>
        <v>-8</v>
      </c>
      <c r="F74">
        <f>result_population__614[[#This Row],[Constr1]]</f>
        <v>2</v>
      </c>
      <c r="J74">
        <f>VALUE(_xlfn.TEXTBEFORE(result_population!J74,","))</f>
        <v>2</v>
      </c>
      <c r="K74">
        <f>VALUE(_xlfn.TEXTBEFORE(result_population!K74,","))</f>
        <v>3</v>
      </c>
      <c r="L74">
        <f>VALUE(_xlfn.TEXTBEFORE(result_population!L74,","))</f>
        <v>-4</v>
      </c>
      <c r="M74">
        <f>VALUE(_xlfn.TEXTBEFORE(result_population!M74,","))</f>
        <v>-15</v>
      </c>
      <c r="N74">
        <f>result_population__818[[#This Row],[Constr1]]</f>
        <v>4</v>
      </c>
      <c r="R74">
        <f>VALUE(_xlfn.TEXTBEFORE(result_population!R74,","))</f>
        <v>5</v>
      </c>
      <c r="S74">
        <f>VALUE(_xlfn.TEXTBEFORE(result_population!S74,","))</f>
        <v>18</v>
      </c>
      <c r="T74">
        <f>VALUE(_xlfn.TEXTBEFORE(result_population!V74,","))</f>
        <v>-37</v>
      </c>
      <c r="U74">
        <f>VALUE(_xlfn.TEXTBEFORE(result_population!W74,","))</f>
        <v>-22</v>
      </c>
      <c r="V74">
        <f>result_population__411[[#This Row],[Constr1]]</f>
        <v>1</v>
      </c>
    </row>
    <row r="75" spans="2:22" x14ac:dyDescent="0.3">
      <c r="B75">
        <f>VALUE(_xlfn.TEXTBEFORE(result_population!B75,","))</f>
        <v>3</v>
      </c>
      <c r="C75">
        <f>VALUE(_xlfn.TEXTBEFORE(result_population!C75,","))</f>
        <v>8</v>
      </c>
      <c r="D75">
        <f>VALUE(_xlfn.TEXTBEFORE(result_population!D75,","))</f>
        <v>0</v>
      </c>
      <c r="E75">
        <f>VALUE(_xlfn.TEXTBEFORE(result_population!E75,","))</f>
        <v>-16</v>
      </c>
      <c r="F75">
        <f>result_population__614[[#This Row],[Constr1]]</f>
        <v>2</v>
      </c>
      <c r="J75">
        <f>VALUE(_xlfn.TEXTBEFORE(result_population!J75,","))</f>
        <v>0</v>
      </c>
      <c r="K75">
        <f>VALUE(_xlfn.TEXTBEFORE(result_population!K75,","))</f>
        <v>3</v>
      </c>
      <c r="L75">
        <f>VALUE(_xlfn.TEXTBEFORE(result_population!L75,","))</f>
        <v>-6</v>
      </c>
      <c r="M75">
        <f>VALUE(_xlfn.TEXTBEFORE(result_population!M75,","))</f>
        <v>-12</v>
      </c>
      <c r="N75">
        <f>result_population__818[[#This Row],[Constr1]]</f>
        <v>3</v>
      </c>
      <c r="R75">
        <f>VALUE(_xlfn.TEXTBEFORE(result_population!R75,","))</f>
        <v>1</v>
      </c>
      <c r="S75">
        <f>VALUE(_xlfn.TEXTBEFORE(result_population!S75,","))</f>
        <v>34</v>
      </c>
      <c r="T75">
        <f>VALUE(_xlfn.TEXTBEFORE(result_population!V75,","))</f>
        <v>-43</v>
      </c>
      <c r="U75">
        <f>VALUE(_xlfn.TEXTBEFORE(result_population!W75,","))</f>
        <v>-22</v>
      </c>
      <c r="V75">
        <f>result_population__411[[#This Row],[Constr1]]</f>
        <v>2</v>
      </c>
    </row>
    <row r="76" spans="2:22" x14ac:dyDescent="0.3">
      <c r="B76">
        <f>VALUE(_xlfn.TEXTBEFORE(result_population!B76,","))</f>
        <v>1</v>
      </c>
      <c r="C76">
        <f>VALUE(_xlfn.TEXTBEFORE(result_population!C76,","))</f>
        <v>5</v>
      </c>
      <c r="D76">
        <f>VALUE(_xlfn.TEXTBEFORE(result_population!D76,","))</f>
        <v>0</v>
      </c>
      <c r="E76">
        <f>VALUE(_xlfn.TEXTBEFORE(result_population!E76,","))</f>
        <v>-12</v>
      </c>
      <c r="F76">
        <f>result_population__614[[#This Row],[Constr1]]</f>
        <v>2</v>
      </c>
      <c r="J76">
        <f>VALUE(_xlfn.TEXTBEFORE(result_population!J76,","))</f>
        <v>1</v>
      </c>
      <c r="K76">
        <f>VALUE(_xlfn.TEXTBEFORE(result_population!K76,","))</f>
        <v>4</v>
      </c>
      <c r="L76">
        <f>VALUE(_xlfn.TEXTBEFORE(result_population!L76,","))</f>
        <v>-3</v>
      </c>
      <c r="M76">
        <f>VALUE(_xlfn.TEXTBEFORE(result_population!M76,","))</f>
        <v>-15</v>
      </c>
      <c r="N76">
        <f>result_population__818[[#This Row],[Constr1]]</f>
        <v>4</v>
      </c>
      <c r="R76">
        <f>VALUE(_xlfn.TEXTBEFORE(result_population!R76,","))</f>
        <v>1</v>
      </c>
      <c r="S76">
        <f>VALUE(_xlfn.TEXTBEFORE(result_population!S76,","))</f>
        <v>26</v>
      </c>
      <c r="T76">
        <f>VALUE(_xlfn.TEXTBEFORE(result_population!V76,","))</f>
        <v>-40</v>
      </c>
      <c r="U76">
        <f>VALUE(_xlfn.TEXTBEFORE(result_population!W76,","))</f>
        <v>-22</v>
      </c>
      <c r="V76">
        <f>result_population__411[[#This Row],[Constr1]]</f>
        <v>2</v>
      </c>
    </row>
    <row r="77" spans="2:22" x14ac:dyDescent="0.3">
      <c r="B77">
        <f>VALUE(_xlfn.TEXTBEFORE(result_population!B77,","))</f>
        <v>5</v>
      </c>
      <c r="C77">
        <f>VALUE(_xlfn.TEXTBEFORE(result_population!C77,","))</f>
        <v>6</v>
      </c>
      <c r="D77">
        <f>VALUE(_xlfn.TEXTBEFORE(result_population!D77,","))</f>
        <v>0</v>
      </c>
      <c r="E77">
        <f>VALUE(_xlfn.TEXTBEFORE(result_population!E77,","))</f>
        <v>-16</v>
      </c>
      <c r="F77">
        <f>result_population__614[[#This Row],[Constr1]]</f>
        <v>2</v>
      </c>
      <c r="J77">
        <f>VALUE(_xlfn.TEXTBEFORE(result_population!J77,","))</f>
        <v>0</v>
      </c>
      <c r="K77">
        <f>VALUE(_xlfn.TEXTBEFORE(result_population!K77,","))</f>
        <v>2</v>
      </c>
      <c r="L77">
        <f>VALUE(_xlfn.TEXTBEFORE(result_population!L77,","))</f>
        <v>-5</v>
      </c>
      <c r="M77">
        <f>VALUE(_xlfn.TEXTBEFORE(result_population!M77,","))</f>
        <v>-11</v>
      </c>
      <c r="N77">
        <f>result_population__818[[#This Row],[Constr1]]</f>
        <v>2</v>
      </c>
      <c r="R77">
        <f>VALUE(_xlfn.TEXTBEFORE(result_population!R77,","))</f>
        <v>9</v>
      </c>
      <c r="S77">
        <f>VALUE(_xlfn.TEXTBEFORE(result_population!S77,","))</f>
        <v>6</v>
      </c>
      <c r="T77">
        <f>VALUE(_xlfn.TEXTBEFORE(result_population!V77,","))</f>
        <v>-30</v>
      </c>
      <c r="U77">
        <f>VALUE(_xlfn.TEXTBEFORE(result_population!W77,","))</f>
        <v>-22</v>
      </c>
      <c r="V77">
        <f>result_population__411[[#This Row],[Constr1]]</f>
        <v>3</v>
      </c>
    </row>
    <row r="78" spans="2:22" x14ac:dyDescent="0.3">
      <c r="B78">
        <f>VALUE(_xlfn.TEXTBEFORE(result_population!B78,","))</f>
        <v>3</v>
      </c>
      <c r="C78">
        <f>VALUE(_xlfn.TEXTBEFORE(result_population!C78,","))</f>
        <v>8</v>
      </c>
      <c r="D78">
        <f>VALUE(_xlfn.TEXTBEFORE(result_population!D78,","))</f>
        <v>3</v>
      </c>
      <c r="E78">
        <f>VALUE(_xlfn.TEXTBEFORE(result_population!E78,","))</f>
        <v>-17</v>
      </c>
      <c r="F78">
        <f>result_population__614[[#This Row],[Constr1]]</f>
        <v>1</v>
      </c>
      <c r="J78">
        <f>VALUE(_xlfn.TEXTBEFORE(result_population!J78,","))</f>
        <v>4</v>
      </c>
      <c r="K78">
        <f>VALUE(_xlfn.TEXTBEFORE(result_population!K78,","))</f>
        <v>5</v>
      </c>
      <c r="L78">
        <f>VALUE(_xlfn.TEXTBEFORE(result_population!L78,","))</f>
        <v>-5</v>
      </c>
      <c r="M78">
        <f>VALUE(_xlfn.TEXTBEFORE(result_population!M78,","))</f>
        <v>-17</v>
      </c>
      <c r="N78">
        <f>result_population__818[[#This Row],[Constr1]]</f>
        <v>3</v>
      </c>
      <c r="R78">
        <f>VALUE(_xlfn.TEXTBEFORE(result_population!R78,","))</f>
        <v>8</v>
      </c>
      <c r="S78">
        <f>VALUE(_xlfn.TEXTBEFORE(result_population!S78,","))</f>
        <v>12</v>
      </c>
      <c r="T78">
        <f>VALUE(_xlfn.TEXTBEFORE(result_population!V78,","))</f>
        <v>-33</v>
      </c>
      <c r="U78">
        <f>VALUE(_xlfn.TEXTBEFORE(result_population!W78,","))</f>
        <v>-22</v>
      </c>
      <c r="V78">
        <f>result_population__411[[#This Row],[Constr1]]</f>
        <v>2</v>
      </c>
    </row>
    <row r="79" spans="2:22" x14ac:dyDescent="0.3">
      <c r="B79">
        <f>VALUE(_xlfn.TEXTBEFORE(result_population!B79,","))</f>
        <v>5</v>
      </c>
      <c r="C79">
        <f>VALUE(_xlfn.TEXTBEFORE(result_population!C79,","))</f>
        <v>4</v>
      </c>
      <c r="D79">
        <f>VALUE(_xlfn.TEXTBEFORE(result_population!D79,","))</f>
        <v>0</v>
      </c>
      <c r="E79">
        <f>VALUE(_xlfn.TEXTBEFORE(result_population!E79,","))</f>
        <v>-15</v>
      </c>
      <c r="F79">
        <f>result_population__614[[#This Row],[Constr1]]</f>
        <v>4</v>
      </c>
      <c r="J79">
        <f>VALUE(_xlfn.TEXTBEFORE(result_population!J79,","))</f>
        <v>2</v>
      </c>
      <c r="K79">
        <f>VALUE(_xlfn.TEXTBEFORE(result_population!K79,","))</f>
        <v>1</v>
      </c>
      <c r="L79">
        <f>VALUE(_xlfn.TEXTBEFORE(result_population!L79,","))</f>
        <v>-5</v>
      </c>
      <c r="M79">
        <f>VALUE(_xlfn.TEXTBEFORE(result_population!M79,","))</f>
        <v>-12</v>
      </c>
      <c r="N79">
        <f>result_population__818[[#This Row],[Constr1]]</f>
        <v>4</v>
      </c>
      <c r="R79">
        <f>VALUE(_xlfn.TEXTBEFORE(result_population!R79,","))</f>
        <v>10</v>
      </c>
      <c r="S79">
        <f>VALUE(_xlfn.TEXTBEFORE(result_population!S79,","))</f>
        <v>8</v>
      </c>
      <c r="T79">
        <f>VALUE(_xlfn.TEXTBEFORE(result_population!V79,","))</f>
        <v>-31</v>
      </c>
      <c r="U79">
        <f>VALUE(_xlfn.TEXTBEFORE(result_population!W79,","))</f>
        <v>-22</v>
      </c>
      <c r="V79">
        <f>result_population__411[[#This Row],[Constr1]]</f>
        <v>2</v>
      </c>
    </row>
    <row r="80" spans="2:22" x14ac:dyDescent="0.3">
      <c r="B80">
        <f>VALUE(_xlfn.TEXTBEFORE(result_population!B80,","))</f>
        <v>4</v>
      </c>
      <c r="C80">
        <f>VALUE(_xlfn.TEXTBEFORE(result_population!C80,","))</f>
        <v>6</v>
      </c>
      <c r="D80">
        <f>VALUE(_xlfn.TEXTBEFORE(result_population!D80,","))</f>
        <v>0</v>
      </c>
      <c r="E80">
        <f>VALUE(_xlfn.TEXTBEFORE(result_population!E80,","))</f>
        <v>-16</v>
      </c>
      <c r="F80">
        <f>result_population__614[[#This Row],[Constr1]]</f>
        <v>3</v>
      </c>
      <c r="J80">
        <f>VALUE(_xlfn.TEXTBEFORE(result_population!J80,","))</f>
        <v>3</v>
      </c>
      <c r="K80">
        <f>VALUE(_xlfn.TEXTBEFORE(result_population!K80,","))</f>
        <v>3</v>
      </c>
      <c r="L80">
        <f>VALUE(_xlfn.TEXTBEFORE(result_population!L80,","))</f>
        <v>-5</v>
      </c>
      <c r="M80">
        <f>VALUE(_xlfn.TEXTBEFORE(result_population!M80,","))</f>
        <v>-15</v>
      </c>
      <c r="N80">
        <f>result_population__818[[#This Row],[Constr1]]</f>
        <v>4</v>
      </c>
      <c r="R80">
        <f>VALUE(_xlfn.TEXTBEFORE(result_population!R80,","))</f>
        <v>3</v>
      </c>
      <c r="S80">
        <f>VALUE(_xlfn.TEXTBEFORE(result_population!S80,","))</f>
        <v>14</v>
      </c>
      <c r="T80">
        <f>VALUE(_xlfn.TEXTBEFORE(result_population!V80,","))</f>
        <v>-31</v>
      </c>
      <c r="U80">
        <f>VALUE(_xlfn.TEXTBEFORE(result_population!W80,","))</f>
        <v>-22</v>
      </c>
      <c r="V80">
        <f>result_population__411[[#This Row],[Constr1]]</f>
        <v>2</v>
      </c>
    </row>
    <row r="81" spans="2:22" x14ac:dyDescent="0.3">
      <c r="B81">
        <f>VALUE(_xlfn.TEXTBEFORE(result_population!B81,","))</f>
        <v>0</v>
      </c>
      <c r="C81">
        <f>VALUE(_xlfn.TEXTBEFORE(result_population!C81,","))</f>
        <v>2</v>
      </c>
      <c r="D81">
        <f>VALUE(_xlfn.TEXTBEFORE(result_population!D81,","))</f>
        <v>0</v>
      </c>
      <c r="E81">
        <f>VALUE(_xlfn.TEXTBEFORE(result_population!E81,","))</f>
        <v>-10</v>
      </c>
      <c r="F81">
        <f>result_population__614[[#This Row],[Constr1]]</f>
        <v>4</v>
      </c>
      <c r="J81">
        <f>VALUE(_xlfn.TEXTBEFORE(result_population!J81,","))</f>
        <v>2</v>
      </c>
      <c r="K81">
        <f>VALUE(_xlfn.TEXTBEFORE(result_population!K81,","))</f>
        <v>1</v>
      </c>
      <c r="L81">
        <f>VALUE(_xlfn.TEXTBEFORE(result_population!L81,","))</f>
        <v>-5</v>
      </c>
      <c r="M81">
        <f>VALUE(_xlfn.TEXTBEFORE(result_population!M81,","))</f>
        <v>-11</v>
      </c>
      <c r="N81">
        <f>result_population__818[[#This Row],[Constr1]]</f>
        <v>2</v>
      </c>
      <c r="R81">
        <f>VALUE(_xlfn.TEXTBEFORE(result_population!R81,","))</f>
        <v>5</v>
      </c>
      <c r="S81">
        <f>VALUE(_xlfn.TEXTBEFORE(result_population!S81,","))</f>
        <v>8</v>
      </c>
      <c r="T81">
        <f>VALUE(_xlfn.TEXTBEFORE(result_population!V81,","))</f>
        <v>-28</v>
      </c>
      <c r="U81">
        <f>VALUE(_xlfn.TEXTBEFORE(result_population!W81,","))</f>
        <v>-22</v>
      </c>
      <c r="V81">
        <f>result_population__411[[#This Row],[Constr1]]</f>
        <v>3</v>
      </c>
    </row>
    <row r="82" spans="2:22" x14ac:dyDescent="0.3">
      <c r="B82">
        <f>VALUE(_xlfn.TEXTBEFORE(result_population!B82,","))</f>
        <v>1</v>
      </c>
      <c r="C82">
        <f>VALUE(_xlfn.TEXTBEFORE(result_population!C82,","))</f>
        <v>1</v>
      </c>
      <c r="D82">
        <f>VALUE(_xlfn.TEXTBEFORE(result_population!D82,","))</f>
        <v>0</v>
      </c>
      <c r="E82">
        <f>VALUE(_xlfn.TEXTBEFORE(result_population!E82,","))</f>
        <v>-10</v>
      </c>
      <c r="F82">
        <f>result_population__614[[#This Row],[Constr1]]</f>
        <v>4</v>
      </c>
      <c r="J82">
        <f>VALUE(_xlfn.TEXTBEFORE(result_population!J82,","))</f>
        <v>1</v>
      </c>
      <c r="K82">
        <f>VALUE(_xlfn.TEXTBEFORE(result_population!K82,","))</f>
        <v>2</v>
      </c>
      <c r="L82">
        <f>VALUE(_xlfn.TEXTBEFORE(result_population!L82,","))</f>
        <v>-5</v>
      </c>
      <c r="M82">
        <f>VALUE(_xlfn.TEXTBEFORE(result_population!M82,","))</f>
        <v>-13</v>
      </c>
      <c r="N82">
        <f>result_population__818[[#This Row],[Constr1]]</f>
        <v>3</v>
      </c>
      <c r="R82">
        <f>VALUE(_xlfn.TEXTBEFORE(result_population!R82,","))</f>
        <v>6</v>
      </c>
      <c r="S82">
        <f>VALUE(_xlfn.TEXTBEFORE(result_population!S82,","))</f>
        <v>8</v>
      </c>
      <c r="T82">
        <f>VALUE(_xlfn.TEXTBEFORE(result_population!V82,","))</f>
        <v>-31</v>
      </c>
      <c r="U82">
        <f>VALUE(_xlfn.TEXTBEFORE(result_population!W82,","))</f>
        <v>-22</v>
      </c>
      <c r="V82">
        <f>result_population__411[[#This Row],[Constr1]]</f>
        <v>4</v>
      </c>
    </row>
    <row r="83" spans="2:22" x14ac:dyDescent="0.3">
      <c r="B83">
        <f>VALUE(_xlfn.TEXTBEFORE(result_population!B83,","))</f>
        <v>2</v>
      </c>
      <c r="C83">
        <f>VALUE(_xlfn.TEXTBEFORE(result_population!C83,","))</f>
        <v>3</v>
      </c>
      <c r="D83">
        <f>VALUE(_xlfn.TEXTBEFORE(result_population!D83,","))</f>
        <v>0</v>
      </c>
      <c r="E83">
        <f>VALUE(_xlfn.TEXTBEFORE(result_population!E83,","))</f>
        <v>-14</v>
      </c>
      <c r="F83">
        <f>result_population__614[[#This Row],[Constr1]]</f>
        <v>5</v>
      </c>
      <c r="J83">
        <f>VALUE(_xlfn.TEXTBEFORE(result_population!J83,","))</f>
        <v>2</v>
      </c>
      <c r="K83">
        <f>VALUE(_xlfn.TEXTBEFORE(result_population!K83,","))</f>
        <v>4</v>
      </c>
      <c r="L83">
        <f>VALUE(_xlfn.TEXTBEFORE(result_population!L83,","))</f>
        <v>-6</v>
      </c>
      <c r="M83">
        <f>VALUE(_xlfn.TEXTBEFORE(result_population!M83,","))</f>
        <v>-13</v>
      </c>
      <c r="N83">
        <f>result_population__818[[#This Row],[Constr1]]</f>
        <v>1</v>
      </c>
      <c r="R83">
        <f>VALUE(_xlfn.TEXTBEFORE(result_population!R83,","))</f>
        <v>1</v>
      </c>
      <c r="S83">
        <f>VALUE(_xlfn.TEXTBEFORE(result_population!S83,","))</f>
        <v>8</v>
      </c>
      <c r="T83">
        <f>VALUE(_xlfn.TEXTBEFORE(result_population!V83,","))</f>
        <v>-27</v>
      </c>
      <c r="U83">
        <f>VALUE(_xlfn.TEXTBEFORE(result_population!W83,","))</f>
        <v>-22</v>
      </c>
      <c r="V83">
        <f>result_population__411[[#This Row],[Constr1]]</f>
        <v>4</v>
      </c>
    </row>
    <row r="84" spans="2:22" x14ac:dyDescent="0.3">
      <c r="B84">
        <f>VALUE(_xlfn.TEXTBEFORE(result_population!B84,","))</f>
        <v>4</v>
      </c>
      <c r="C84">
        <f>VALUE(_xlfn.TEXTBEFORE(result_population!C84,","))</f>
        <v>4</v>
      </c>
      <c r="D84">
        <f>VALUE(_xlfn.TEXTBEFORE(result_population!D84,","))</f>
        <v>3</v>
      </c>
      <c r="E84">
        <f>VALUE(_xlfn.TEXTBEFORE(result_population!E84,","))</f>
        <v>-14</v>
      </c>
      <c r="F84">
        <f>result_population__614[[#This Row],[Constr1]]</f>
        <v>1</v>
      </c>
      <c r="J84">
        <f>VALUE(_xlfn.TEXTBEFORE(result_population!J84,","))</f>
        <v>0</v>
      </c>
      <c r="K84">
        <f>VALUE(_xlfn.TEXTBEFORE(result_population!K84,","))</f>
        <v>4</v>
      </c>
      <c r="L84">
        <f>VALUE(_xlfn.TEXTBEFORE(result_population!L84,","))</f>
        <v>-5</v>
      </c>
      <c r="M84">
        <f>VALUE(_xlfn.TEXTBEFORE(result_population!M84,","))</f>
        <v>-13</v>
      </c>
      <c r="N84">
        <f>result_population__818[[#This Row],[Constr1]]</f>
        <v>3</v>
      </c>
      <c r="R84">
        <f>VALUE(_xlfn.TEXTBEFORE(result_population!R84,","))</f>
        <v>2</v>
      </c>
      <c r="S84">
        <f>VALUE(_xlfn.TEXTBEFORE(result_population!S84,","))</f>
        <v>22</v>
      </c>
      <c r="T84">
        <f>VALUE(_xlfn.TEXTBEFORE(result_population!V84,","))</f>
        <v>-40</v>
      </c>
      <c r="U84">
        <f>VALUE(_xlfn.TEXTBEFORE(result_population!W84,","))</f>
        <v>-22</v>
      </c>
      <c r="V84">
        <f>result_population__411[[#This Row],[Constr1]]</f>
        <v>2</v>
      </c>
    </row>
    <row r="85" spans="2:22" x14ac:dyDescent="0.3">
      <c r="B85">
        <f>VALUE(_xlfn.TEXTBEFORE(result_population!B85,","))</f>
        <v>0</v>
      </c>
      <c r="C85">
        <f>VALUE(_xlfn.TEXTBEFORE(result_population!C85,","))</f>
        <v>3</v>
      </c>
      <c r="D85">
        <f>VALUE(_xlfn.TEXTBEFORE(result_population!D85,","))</f>
        <v>3</v>
      </c>
      <c r="E85">
        <f>VALUE(_xlfn.TEXTBEFORE(result_population!E85,","))</f>
        <v>-9</v>
      </c>
      <c r="F85">
        <f>result_population__614[[#This Row],[Constr1]]</f>
        <v>1</v>
      </c>
      <c r="J85">
        <f>VALUE(_xlfn.TEXTBEFORE(result_population!J85,","))</f>
        <v>1</v>
      </c>
      <c r="K85">
        <f>VALUE(_xlfn.TEXTBEFORE(result_population!K85,","))</f>
        <v>3</v>
      </c>
      <c r="L85">
        <f>VALUE(_xlfn.TEXTBEFORE(result_population!L85,","))</f>
        <v>-5</v>
      </c>
      <c r="M85">
        <f>VALUE(_xlfn.TEXTBEFORE(result_population!M85,","))</f>
        <v>-13</v>
      </c>
      <c r="N85">
        <f>result_population__818[[#This Row],[Constr1]]</f>
        <v>2</v>
      </c>
      <c r="R85">
        <f>VALUE(_xlfn.TEXTBEFORE(result_population!R85,","))</f>
        <v>6</v>
      </c>
      <c r="S85">
        <f>VALUE(_xlfn.TEXTBEFORE(result_population!S85,","))</f>
        <v>10</v>
      </c>
      <c r="T85">
        <f>VALUE(_xlfn.TEXTBEFORE(result_population!V85,","))</f>
        <v>-32</v>
      </c>
      <c r="U85">
        <f>VALUE(_xlfn.TEXTBEFORE(result_population!W85,","))</f>
        <v>-22</v>
      </c>
      <c r="V85">
        <f>result_population__411[[#This Row],[Constr1]]</f>
        <v>3</v>
      </c>
    </row>
    <row r="86" spans="2:22" x14ac:dyDescent="0.3">
      <c r="B86">
        <f>VALUE(_xlfn.TEXTBEFORE(result_population!B86,","))</f>
        <v>1</v>
      </c>
      <c r="C86">
        <f>VALUE(_xlfn.TEXTBEFORE(result_population!C86,","))</f>
        <v>6</v>
      </c>
      <c r="D86">
        <f>VALUE(_xlfn.TEXTBEFORE(result_population!D86,","))</f>
        <v>0</v>
      </c>
      <c r="E86">
        <f>VALUE(_xlfn.TEXTBEFORE(result_population!E86,","))</f>
        <v>-13</v>
      </c>
      <c r="F86">
        <f>result_population__614[[#This Row],[Constr1]]</f>
        <v>2</v>
      </c>
      <c r="J86">
        <f>VALUE(_xlfn.TEXTBEFORE(result_population!J86,","))</f>
        <v>0</v>
      </c>
      <c r="K86">
        <f>VALUE(_xlfn.TEXTBEFORE(result_population!K86,","))</f>
        <v>4</v>
      </c>
      <c r="L86">
        <f>VALUE(_xlfn.TEXTBEFORE(result_population!L86,","))</f>
        <v>-6</v>
      </c>
      <c r="M86">
        <f>VALUE(_xlfn.TEXTBEFORE(result_population!M86,","))</f>
        <v>-12</v>
      </c>
      <c r="N86">
        <f>result_population__818[[#This Row],[Constr1]]</f>
        <v>2</v>
      </c>
      <c r="R86">
        <f>VALUE(_xlfn.TEXTBEFORE(result_population!R86,","))</f>
        <v>1</v>
      </c>
      <c r="S86">
        <f>VALUE(_xlfn.TEXTBEFORE(result_population!S86,","))</f>
        <v>12</v>
      </c>
      <c r="T86">
        <f>VALUE(_xlfn.TEXTBEFORE(result_population!V86,","))</f>
        <v>-35</v>
      </c>
      <c r="U86">
        <f>VALUE(_xlfn.TEXTBEFORE(result_population!W86,","))</f>
        <v>-22</v>
      </c>
      <c r="V86">
        <f>result_population__411[[#This Row],[Constr1]]</f>
        <v>4</v>
      </c>
    </row>
    <row r="87" spans="2:22" x14ac:dyDescent="0.3">
      <c r="B87">
        <f>VALUE(_xlfn.TEXTBEFORE(result_population!B87,","))</f>
        <v>2</v>
      </c>
      <c r="C87">
        <f>VALUE(_xlfn.TEXTBEFORE(result_population!C87,","))</f>
        <v>1</v>
      </c>
      <c r="D87">
        <f>VALUE(_xlfn.TEXTBEFORE(result_population!D87,","))</f>
        <v>0</v>
      </c>
      <c r="E87">
        <f>VALUE(_xlfn.TEXTBEFORE(result_population!E87,","))</f>
        <v>-11</v>
      </c>
      <c r="F87">
        <f>result_population__614[[#This Row],[Constr1]]</f>
        <v>4</v>
      </c>
      <c r="J87">
        <f>VALUE(_xlfn.TEXTBEFORE(result_population!J87,","))</f>
        <v>1</v>
      </c>
      <c r="K87">
        <f>VALUE(_xlfn.TEXTBEFORE(result_population!K87,","))</f>
        <v>2</v>
      </c>
      <c r="L87">
        <f>VALUE(_xlfn.TEXTBEFORE(result_population!L87,","))</f>
        <v>-5</v>
      </c>
      <c r="M87">
        <f>VALUE(_xlfn.TEXTBEFORE(result_population!M87,","))</f>
        <v>-12</v>
      </c>
      <c r="N87">
        <f>result_population__818[[#This Row],[Constr1]]</f>
        <v>2</v>
      </c>
      <c r="R87">
        <f>VALUE(_xlfn.TEXTBEFORE(result_population!R87,","))</f>
        <v>2</v>
      </c>
      <c r="S87">
        <f>VALUE(_xlfn.TEXTBEFORE(result_population!S87,","))</f>
        <v>32</v>
      </c>
      <c r="T87">
        <f>VALUE(_xlfn.TEXTBEFORE(result_population!V87,","))</f>
        <v>-42</v>
      </c>
      <c r="U87">
        <f>VALUE(_xlfn.TEXTBEFORE(result_population!W87,","))</f>
        <v>-22</v>
      </c>
      <c r="V87">
        <f>result_population__411[[#This Row],[Constr1]]</f>
        <v>2</v>
      </c>
    </row>
    <row r="88" spans="2:22" x14ac:dyDescent="0.3">
      <c r="B88">
        <f>VALUE(_xlfn.TEXTBEFORE(result_population!B88,","))</f>
        <v>3</v>
      </c>
      <c r="C88">
        <f>VALUE(_xlfn.TEXTBEFORE(result_population!C88,","))</f>
        <v>7</v>
      </c>
      <c r="D88">
        <f>VALUE(_xlfn.TEXTBEFORE(result_population!D88,","))</f>
        <v>3</v>
      </c>
      <c r="E88">
        <f>VALUE(_xlfn.TEXTBEFORE(result_population!E88,","))</f>
        <v>-16</v>
      </c>
      <c r="F88">
        <f>result_population__614[[#This Row],[Constr1]]</f>
        <v>1</v>
      </c>
      <c r="J88">
        <f>VALUE(_xlfn.TEXTBEFORE(result_population!J88,","))</f>
        <v>3</v>
      </c>
      <c r="K88">
        <f>VALUE(_xlfn.TEXTBEFORE(result_population!K88,","))</f>
        <v>1</v>
      </c>
      <c r="L88">
        <f>VALUE(_xlfn.TEXTBEFORE(result_population!L88,","))</f>
        <v>-3</v>
      </c>
      <c r="M88">
        <f>VALUE(_xlfn.TEXTBEFORE(result_population!M88,","))</f>
        <v>-13</v>
      </c>
      <c r="N88">
        <f>result_population__818[[#This Row],[Constr1]]</f>
        <v>5</v>
      </c>
      <c r="R88">
        <f>VALUE(_xlfn.TEXTBEFORE(result_population!R88,","))</f>
        <v>1</v>
      </c>
      <c r="S88">
        <f>VALUE(_xlfn.TEXTBEFORE(result_population!S88,","))</f>
        <v>10</v>
      </c>
      <c r="T88">
        <f>VALUE(_xlfn.TEXTBEFORE(result_population!V88,","))</f>
        <v>-31</v>
      </c>
      <c r="U88">
        <f>VALUE(_xlfn.TEXTBEFORE(result_population!W88,","))</f>
        <v>-22</v>
      </c>
      <c r="V88">
        <f>result_population__411[[#This Row],[Constr1]]</f>
        <v>4</v>
      </c>
    </row>
    <row r="89" spans="2:22" x14ac:dyDescent="0.3">
      <c r="B89">
        <f>VALUE(_xlfn.TEXTBEFORE(result_population!B89,","))</f>
        <v>4</v>
      </c>
      <c r="C89">
        <f>VALUE(_xlfn.TEXTBEFORE(result_population!C89,","))</f>
        <v>6</v>
      </c>
      <c r="D89">
        <f>VALUE(_xlfn.TEXTBEFORE(result_population!D89,","))</f>
        <v>0</v>
      </c>
      <c r="E89">
        <f>VALUE(_xlfn.TEXTBEFORE(result_population!E89,","))</f>
        <v>-17</v>
      </c>
      <c r="F89">
        <f>result_population__614[[#This Row],[Constr1]]</f>
        <v>5</v>
      </c>
      <c r="J89">
        <f>VALUE(_xlfn.TEXTBEFORE(result_population!J89,","))</f>
        <v>3</v>
      </c>
      <c r="K89">
        <f>VALUE(_xlfn.TEXTBEFORE(result_population!K89,","))</f>
        <v>5</v>
      </c>
      <c r="L89">
        <f>VALUE(_xlfn.TEXTBEFORE(result_population!L89,","))</f>
        <v>-5</v>
      </c>
      <c r="M89">
        <f>VALUE(_xlfn.TEXTBEFORE(result_population!M89,","))</f>
        <v>-15</v>
      </c>
      <c r="N89">
        <f>result_population__818[[#This Row],[Constr1]]</f>
        <v>2</v>
      </c>
      <c r="R89">
        <f>VALUE(_xlfn.TEXTBEFORE(result_population!R89,","))</f>
        <v>2</v>
      </c>
      <c r="S89">
        <f>VALUE(_xlfn.TEXTBEFORE(result_population!S89,","))</f>
        <v>36</v>
      </c>
      <c r="T89">
        <f>VALUE(_xlfn.TEXTBEFORE(result_population!V89,","))</f>
        <v>-44</v>
      </c>
      <c r="U89">
        <f>VALUE(_xlfn.TEXTBEFORE(result_population!W89,","))</f>
        <v>-22</v>
      </c>
      <c r="V89">
        <f>result_population__411[[#This Row],[Constr1]]</f>
        <v>1</v>
      </c>
    </row>
    <row r="90" spans="2:22" x14ac:dyDescent="0.3">
      <c r="B90">
        <f>VALUE(_xlfn.TEXTBEFORE(result_population!B90,","))</f>
        <v>4</v>
      </c>
      <c r="C90">
        <f>VALUE(_xlfn.TEXTBEFORE(result_population!C90,","))</f>
        <v>5</v>
      </c>
      <c r="D90">
        <f>VALUE(_xlfn.TEXTBEFORE(result_population!D90,","))</f>
        <v>0</v>
      </c>
      <c r="E90">
        <f>VALUE(_xlfn.TEXTBEFORE(result_population!E90,","))</f>
        <v>-15</v>
      </c>
      <c r="F90">
        <f>result_population__614[[#This Row],[Constr1]]</f>
        <v>4</v>
      </c>
      <c r="J90">
        <f>VALUE(_xlfn.TEXTBEFORE(result_population!J90,","))</f>
        <v>2</v>
      </c>
      <c r="K90">
        <f>VALUE(_xlfn.TEXTBEFORE(result_population!K90,","))</f>
        <v>6</v>
      </c>
      <c r="L90">
        <f>VALUE(_xlfn.TEXTBEFORE(result_population!L90,","))</f>
        <v>-5</v>
      </c>
      <c r="M90">
        <f>VALUE(_xlfn.TEXTBEFORE(result_population!M90,","))</f>
        <v>-15</v>
      </c>
      <c r="N90">
        <f>result_population__818[[#This Row],[Constr1]]</f>
        <v>2</v>
      </c>
      <c r="R90">
        <f>VALUE(_xlfn.TEXTBEFORE(result_population!R90,","))</f>
        <v>1</v>
      </c>
      <c r="S90">
        <f>VALUE(_xlfn.TEXTBEFORE(result_population!S90,","))</f>
        <v>12</v>
      </c>
      <c r="T90">
        <f>VALUE(_xlfn.TEXTBEFORE(result_population!V90,","))</f>
        <v>-31</v>
      </c>
      <c r="U90">
        <f>VALUE(_xlfn.TEXTBEFORE(result_population!W90,","))</f>
        <v>-22</v>
      </c>
      <c r="V90">
        <f>result_population__411[[#This Row],[Constr1]]</f>
        <v>3</v>
      </c>
    </row>
    <row r="91" spans="2:22" x14ac:dyDescent="0.3">
      <c r="B91">
        <f>VALUE(_xlfn.TEXTBEFORE(result_population!B91,","))</f>
        <v>0</v>
      </c>
      <c r="C91">
        <f>VALUE(_xlfn.TEXTBEFORE(result_population!C91,","))</f>
        <v>2</v>
      </c>
      <c r="D91">
        <f>VALUE(_xlfn.TEXTBEFORE(result_population!D91,","))</f>
        <v>0</v>
      </c>
      <c r="E91">
        <f>VALUE(_xlfn.TEXTBEFORE(result_population!E91,","))</f>
        <v>-9</v>
      </c>
      <c r="F91">
        <f>result_population__614[[#This Row],[Constr1]]</f>
        <v>3</v>
      </c>
      <c r="J91">
        <f>VALUE(_xlfn.TEXTBEFORE(result_population!J91,","))</f>
        <v>2</v>
      </c>
      <c r="K91">
        <f>VALUE(_xlfn.TEXTBEFORE(result_population!K91,","))</f>
        <v>7</v>
      </c>
      <c r="L91">
        <f>VALUE(_xlfn.TEXTBEFORE(result_population!L91,","))</f>
        <v>-3</v>
      </c>
      <c r="M91">
        <f>VALUE(_xlfn.TEXTBEFORE(result_population!M91,","))</f>
        <v>-16</v>
      </c>
      <c r="N91">
        <f>result_population__818[[#This Row],[Constr1]]</f>
        <v>2</v>
      </c>
      <c r="R91">
        <f>VALUE(_xlfn.TEXTBEFORE(result_population!R91,","))</f>
        <v>2</v>
      </c>
      <c r="S91">
        <f>VALUE(_xlfn.TEXTBEFORE(result_population!S91,","))</f>
        <v>24</v>
      </c>
      <c r="T91">
        <f>VALUE(_xlfn.TEXTBEFORE(result_population!V91,","))</f>
        <v>-41</v>
      </c>
      <c r="U91">
        <f>VALUE(_xlfn.TEXTBEFORE(result_population!W91,","))</f>
        <v>-22</v>
      </c>
      <c r="V91">
        <f>result_population__411[[#This Row],[Constr1]]</f>
        <v>2</v>
      </c>
    </row>
    <row r="92" spans="2:22" x14ac:dyDescent="0.3">
      <c r="B92">
        <f>VALUE(_xlfn.TEXTBEFORE(result_population!B92,","))</f>
        <v>2</v>
      </c>
      <c r="C92">
        <f>VALUE(_xlfn.TEXTBEFORE(result_population!C92,","))</f>
        <v>1</v>
      </c>
      <c r="D92">
        <f>VALUE(_xlfn.TEXTBEFORE(result_population!D92,","))</f>
        <v>0</v>
      </c>
      <c r="E92">
        <f>VALUE(_xlfn.TEXTBEFORE(result_population!E92,","))</f>
        <v>-12</v>
      </c>
      <c r="F92">
        <f>result_population__614[[#This Row],[Constr1]]</f>
        <v>5</v>
      </c>
      <c r="J92">
        <f>VALUE(_xlfn.TEXTBEFORE(result_population!J92,","))</f>
        <v>3</v>
      </c>
      <c r="K92">
        <f>VALUE(_xlfn.TEXTBEFORE(result_population!K92,","))</f>
        <v>4</v>
      </c>
      <c r="L92">
        <f>VALUE(_xlfn.TEXTBEFORE(result_population!L92,","))</f>
        <v>-5</v>
      </c>
      <c r="M92">
        <f>VALUE(_xlfn.TEXTBEFORE(result_population!M92,","))</f>
        <v>-16</v>
      </c>
      <c r="N92">
        <f>result_population__818[[#This Row],[Constr1]]</f>
        <v>4</v>
      </c>
      <c r="R92">
        <f>VALUE(_xlfn.TEXTBEFORE(result_population!R92,","))</f>
        <v>1</v>
      </c>
      <c r="S92">
        <f>VALUE(_xlfn.TEXTBEFORE(result_population!S92,","))</f>
        <v>8</v>
      </c>
      <c r="T92">
        <f>VALUE(_xlfn.TEXTBEFORE(result_population!V92,","))</f>
        <v>-30</v>
      </c>
      <c r="U92">
        <f>VALUE(_xlfn.TEXTBEFORE(result_population!W92,","))</f>
        <v>-22</v>
      </c>
      <c r="V92">
        <f>result_population__411[[#This Row],[Constr1]]</f>
        <v>5</v>
      </c>
    </row>
    <row r="93" spans="2:22" x14ac:dyDescent="0.3">
      <c r="B93">
        <f>VALUE(_xlfn.TEXTBEFORE(result_population!B93,","))</f>
        <v>1</v>
      </c>
      <c r="C93">
        <f>VALUE(_xlfn.TEXTBEFORE(result_population!C93,","))</f>
        <v>9</v>
      </c>
      <c r="D93">
        <f>VALUE(_xlfn.TEXTBEFORE(result_population!D93,","))</f>
        <v>0</v>
      </c>
      <c r="E93">
        <f>VALUE(_xlfn.TEXTBEFORE(result_population!E93,","))</f>
        <v>-16</v>
      </c>
      <c r="F93">
        <f>result_population__614[[#This Row],[Constr1]]</f>
        <v>3</v>
      </c>
      <c r="J93">
        <f>VALUE(_xlfn.TEXTBEFORE(result_population!J93,","))</f>
        <v>3</v>
      </c>
      <c r="K93">
        <f>VALUE(_xlfn.TEXTBEFORE(result_population!K93,","))</f>
        <v>7</v>
      </c>
      <c r="L93">
        <f>VALUE(_xlfn.TEXTBEFORE(result_population!L93,","))</f>
        <v>-5</v>
      </c>
      <c r="M93">
        <f>VALUE(_xlfn.TEXTBEFORE(result_population!M93,","))</f>
        <v>-16</v>
      </c>
      <c r="N93">
        <f>result_population__818[[#This Row],[Constr1]]</f>
        <v>1</v>
      </c>
      <c r="R93">
        <f>VALUE(_xlfn.TEXTBEFORE(result_population!R93,","))</f>
        <v>2</v>
      </c>
      <c r="S93">
        <f>VALUE(_xlfn.TEXTBEFORE(result_population!S93,","))</f>
        <v>16</v>
      </c>
      <c r="T93">
        <f>VALUE(_xlfn.TEXTBEFORE(result_population!V93,","))</f>
        <v>-37</v>
      </c>
      <c r="U93">
        <f>VALUE(_xlfn.TEXTBEFORE(result_population!W93,","))</f>
        <v>-22</v>
      </c>
      <c r="V93">
        <f>result_population__411[[#This Row],[Constr1]]</f>
        <v>2</v>
      </c>
    </row>
    <row r="94" spans="2:22" x14ac:dyDescent="0.3">
      <c r="B94">
        <f>VALUE(_xlfn.TEXTBEFORE(result_population!B94,","))</f>
        <v>2</v>
      </c>
      <c r="C94">
        <f>VALUE(_xlfn.TEXTBEFORE(result_population!C94,","))</f>
        <v>2</v>
      </c>
      <c r="D94">
        <f>VALUE(_xlfn.TEXTBEFORE(result_population!D94,","))</f>
        <v>3</v>
      </c>
      <c r="E94">
        <f>VALUE(_xlfn.TEXTBEFORE(result_population!E94,","))</f>
        <v>-12</v>
      </c>
      <c r="F94">
        <f>result_population__614[[#This Row],[Constr1]]</f>
        <v>3</v>
      </c>
      <c r="J94">
        <f>VALUE(_xlfn.TEXTBEFORE(result_population!J94,","))</f>
        <v>2</v>
      </c>
      <c r="K94">
        <f>VALUE(_xlfn.TEXTBEFORE(result_population!K94,","))</f>
        <v>6</v>
      </c>
      <c r="L94">
        <f>VALUE(_xlfn.TEXTBEFORE(result_population!L94,","))</f>
        <v>-4</v>
      </c>
      <c r="M94">
        <f>VALUE(_xlfn.TEXTBEFORE(result_population!M94,","))</f>
        <v>-16</v>
      </c>
      <c r="N94">
        <f>result_population__818[[#This Row],[Constr1]]</f>
        <v>3</v>
      </c>
      <c r="R94">
        <f>VALUE(_xlfn.TEXTBEFORE(result_population!R94,","))</f>
        <v>2</v>
      </c>
      <c r="S94">
        <f>VALUE(_xlfn.TEXTBEFORE(result_population!S94,","))</f>
        <v>34</v>
      </c>
      <c r="T94">
        <f>VALUE(_xlfn.TEXTBEFORE(result_population!V94,","))</f>
        <v>-43</v>
      </c>
      <c r="U94">
        <f>VALUE(_xlfn.TEXTBEFORE(result_population!W94,","))</f>
        <v>-22</v>
      </c>
      <c r="V94">
        <f>result_population__411[[#This Row],[Constr1]]</f>
        <v>1</v>
      </c>
    </row>
    <row r="95" spans="2:22" x14ac:dyDescent="0.3">
      <c r="B95">
        <f>VALUE(_xlfn.TEXTBEFORE(result_population!B95,","))</f>
        <v>3</v>
      </c>
      <c r="C95">
        <f>VALUE(_xlfn.TEXTBEFORE(result_population!C95,","))</f>
        <v>5</v>
      </c>
      <c r="D95">
        <f>VALUE(_xlfn.TEXTBEFORE(result_population!D95,","))</f>
        <v>0</v>
      </c>
      <c r="E95">
        <f>VALUE(_xlfn.TEXTBEFORE(result_population!E95,","))</f>
        <v>-16</v>
      </c>
      <c r="F95">
        <f>result_population__614[[#This Row],[Constr1]]</f>
        <v>6</v>
      </c>
      <c r="J95">
        <f>VALUE(_xlfn.TEXTBEFORE(result_population!J95,","))</f>
        <v>1</v>
      </c>
      <c r="K95">
        <f>VALUE(_xlfn.TEXTBEFORE(result_population!K95,","))</f>
        <v>6</v>
      </c>
      <c r="L95">
        <f>VALUE(_xlfn.TEXTBEFORE(result_population!L95,","))</f>
        <v>-5</v>
      </c>
      <c r="M95">
        <f>VALUE(_xlfn.TEXTBEFORE(result_population!M95,","))</f>
        <v>-15</v>
      </c>
      <c r="N95">
        <f>result_population__818[[#This Row],[Constr1]]</f>
        <v>3</v>
      </c>
    </row>
    <row r="96" spans="2:22" x14ac:dyDescent="0.3">
      <c r="B96">
        <f>VALUE(_xlfn.TEXTBEFORE(result_population!B96,","))</f>
        <v>1</v>
      </c>
      <c r="C96">
        <f>VALUE(_xlfn.TEXTBEFORE(result_population!C96,","))</f>
        <v>1</v>
      </c>
      <c r="D96">
        <f>VALUE(_xlfn.TEXTBEFORE(result_population!D96,","))</f>
        <v>0</v>
      </c>
      <c r="E96">
        <f>VALUE(_xlfn.TEXTBEFORE(result_population!E96,","))</f>
        <v>-8</v>
      </c>
      <c r="F96">
        <f>result_population__614[[#This Row],[Constr1]]</f>
        <v>2</v>
      </c>
      <c r="J96">
        <f>VALUE(_xlfn.TEXTBEFORE(result_population!J96,","))</f>
        <v>1</v>
      </c>
      <c r="K96">
        <f>VALUE(_xlfn.TEXTBEFORE(result_population!K96,","))</f>
        <v>1</v>
      </c>
      <c r="L96">
        <f>VALUE(_xlfn.TEXTBEFORE(result_population!L96,","))</f>
        <v>-3</v>
      </c>
      <c r="M96">
        <f>VALUE(_xlfn.TEXTBEFORE(result_population!M96,","))</f>
        <v>-12</v>
      </c>
      <c r="N96">
        <f>result_population__818[[#This Row],[Constr1]]</f>
        <v>4</v>
      </c>
    </row>
    <row r="97" spans="2:6" x14ac:dyDescent="0.3">
      <c r="B97">
        <f>VALUE(_xlfn.TEXTBEFORE(result_population!B97,","))</f>
        <v>0</v>
      </c>
      <c r="C97">
        <f>VALUE(_xlfn.TEXTBEFORE(result_population!C97,","))</f>
        <v>6</v>
      </c>
      <c r="D97">
        <f>VALUE(_xlfn.TEXTBEFORE(result_population!D97,","))</f>
        <v>0</v>
      </c>
      <c r="E97">
        <f>VALUE(_xlfn.TEXTBEFORE(result_population!E97,","))</f>
        <v>-12</v>
      </c>
      <c r="F97">
        <f>result_population__614[[#This Row],[Constr1]]</f>
        <v>1</v>
      </c>
    </row>
    <row r="98" spans="2:6" x14ac:dyDescent="0.3">
      <c r="B98">
        <f>VALUE(_xlfn.TEXTBEFORE(result_population!B98,","))</f>
        <v>0</v>
      </c>
      <c r="C98">
        <f>VALUE(_xlfn.TEXTBEFORE(result_population!C98,","))</f>
        <v>3</v>
      </c>
      <c r="D98">
        <f>VALUE(_xlfn.TEXTBEFORE(result_population!D98,","))</f>
        <v>0</v>
      </c>
      <c r="E98">
        <f>VALUE(_xlfn.TEXTBEFORE(result_population!E98,","))</f>
        <v>-8</v>
      </c>
      <c r="F98">
        <f>result_population__614[[#This Row],[Constr1]]</f>
        <v>1</v>
      </c>
    </row>
    <row r="99" spans="2:6" x14ac:dyDescent="0.3">
      <c r="B99">
        <f>VALUE(_xlfn.TEXTBEFORE(result_population!B99,","))</f>
        <v>2</v>
      </c>
      <c r="C99">
        <f>VALUE(_xlfn.TEXTBEFORE(result_population!C99,","))</f>
        <v>2</v>
      </c>
      <c r="D99">
        <f>VALUE(_xlfn.TEXTBEFORE(result_population!D99,","))</f>
        <v>3</v>
      </c>
      <c r="E99">
        <f>VALUE(_xlfn.TEXTBEFORE(result_population!E99,","))</f>
        <v>-11</v>
      </c>
      <c r="F99">
        <f>result_population__614[[#This Row],[Constr1]]</f>
        <v>2</v>
      </c>
    </row>
    <row r="100" spans="2:6" x14ac:dyDescent="0.3">
      <c r="B100">
        <f>VALUE(_xlfn.TEXTBEFORE(result_population!B100,","))</f>
        <v>1</v>
      </c>
      <c r="C100">
        <f>VALUE(_xlfn.TEXTBEFORE(result_population!C100,","))</f>
        <v>1</v>
      </c>
      <c r="D100">
        <f>VALUE(_xlfn.TEXTBEFORE(result_population!D100,","))</f>
        <v>0</v>
      </c>
      <c r="E100">
        <f>VALUE(_xlfn.TEXTBEFORE(result_population!E100,","))</f>
        <v>-11</v>
      </c>
      <c r="F100">
        <f>result_population__614[[#This Row],[Constr1]]</f>
        <v>5</v>
      </c>
    </row>
    <row r="101" spans="2:6" x14ac:dyDescent="0.3">
      <c r="B101">
        <f>VALUE(_xlfn.TEXTBEFORE(result_population!B101,","))</f>
        <v>1</v>
      </c>
      <c r="C101">
        <f>VALUE(_xlfn.TEXTBEFORE(result_population!C101,","))</f>
        <v>3</v>
      </c>
      <c r="D101">
        <f>VALUE(_xlfn.TEXTBEFORE(result_population!D101,","))</f>
        <v>0</v>
      </c>
      <c r="E101">
        <f>VALUE(_xlfn.TEXTBEFORE(result_population!E101,","))</f>
        <v>-13</v>
      </c>
      <c r="F101">
        <f>result_population__614[[#This Row],[Constr1]]</f>
        <v>5</v>
      </c>
    </row>
    <row r="102" spans="2:6" x14ac:dyDescent="0.3">
      <c r="B102">
        <f>VALUE(_xlfn.TEXTBEFORE(result_population!B102,","))</f>
        <v>2</v>
      </c>
      <c r="C102">
        <f>VALUE(_xlfn.TEXTBEFORE(result_population!C102,","))</f>
        <v>6</v>
      </c>
      <c r="D102">
        <f>VALUE(_xlfn.TEXTBEFORE(result_population!D102,","))</f>
        <v>0</v>
      </c>
      <c r="E102">
        <f>VALUE(_xlfn.TEXTBEFORE(result_population!E102,","))</f>
        <v>-15</v>
      </c>
      <c r="F102">
        <f>result_population__614[[#This Row],[Constr1]]</f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07BC-EFCA-49C2-BDBB-6620D1D9038A}">
  <dimension ref="A1:X106"/>
  <sheetViews>
    <sheetView workbookViewId="0">
      <selection activeCell="O13" sqref="O13"/>
    </sheetView>
  </sheetViews>
  <sheetFormatPr defaultRowHeight="14.4" x14ac:dyDescent="0.3"/>
  <cols>
    <col min="1" max="1" width="12.21875" customWidth="1"/>
    <col min="5" max="5" width="9.6640625" bestFit="1" customWidth="1"/>
    <col min="6" max="7" width="9.6640625" customWidth="1"/>
  </cols>
  <sheetData>
    <row r="1" spans="1:24" x14ac:dyDescent="0.3">
      <c r="A1" t="s">
        <v>67</v>
      </c>
      <c r="B1" t="s">
        <v>470</v>
      </c>
      <c r="C1" t="s">
        <v>471</v>
      </c>
      <c r="D1" t="s">
        <v>472</v>
      </c>
      <c r="E1" t="s">
        <v>467</v>
      </c>
      <c r="F1" t="s">
        <v>473</v>
      </c>
      <c r="I1" t="s">
        <v>69</v>
      </c>
      <c r="J1" t="s">
        <v>470</v>
      </c>
      <c r="K1" t="s">
        <v>471</v>
      </c>
      <c r="L1" t="s">
        <v>472</v>
      </c>
      <c r="M1" t="s">
        <v>467</v>
      </c>
      <c r="N1" t="s">
        <v>473</v>
      </c>
      <c r="Q1" t="s">
        <v>70</v>
      </c>
      <c r="R1" t="s">
        <v>464</v>
      </c>
      <c r="S1" t="s">
        <v>465</v>
      </c>
      <c r="T1" s="6" t="s">
        <v>468</v>
      </c>
      <c r="U1" s="6" t="s">
        <v>469</v>
      </c>
      <c r="V1" t="s">
        <v>466</v>
      </c>
      <c r="W1" t="s">
        <v>467</v>
      </c>
      <c r="X1" t="s">
        <v>468</v>
      </c>
    </row>
    <row r="2" spans="1:24" x14ac:dyDescent="0.3">
      <c r="A2" t="s">
        <v>57</v>
      </c>
      <c r="B2" t="s">
        <v>58</v>
      </c>
      <c r="C2" t="s">
        <v>59</v>
      </c>
      <c r="D2" t="s">
        <v>60</v>
      </c>
      <c r="E2" t="s">
        <v>151</v>
      </c>
      <c r="F2" t="s">
        <v>62</v>
      </c>
      <c r="I2" t="s">
        <v>57</v>
      </c>
      <c r="J2" t="s">
        <v>58</v>
      </c>
      <c r="K2" t="s">
        <v>59</v>
      </c>
      <c r="L2" t="s">
        <v>61</v>
      </c>
      <c r="M2" t="s">
        <v>151</v>
      </c>
      <c r="N2" t="s">
        <v>62</v>
      </c>
      <c r="Q2" t="s">
        <v>57</v>
      </c>
      <c r="R2" t="s">
        <v>58</v>
      </c>
      <c r="S2" t="s">
        <v>59</v>
      </c>
      <c r="T2" s="6" t="s">
        <v>60</v>
      </c>
      <c r="U2" s="6" t="s">
        <v>61</v>
      </c>
      <c r="V2" t="s">
        <v>151</v>
      </c>
      <c r="W2" t="s">
        <v>152</v>
      </c>
      <c r="X2" t="s">
        <v>62</v>
      </c>
    </row>
    <row r="3" spans="1:24" x14ac:dyDescent="0.3">
      <c r="A3" t="s">
        <v>257</v>
      </c>
      <c r="B3" t="s">
        <v>63</v>
      </c>
      <c r="C3" t="s">
        <v>78</v>
      </c>
      <c r="D3" t="s">
        <v>63</v>
      </c>
      <c r="E3" t="s">
        <v>68</v>
      </c>
      <c r="F3">
        <v>1</v>
      </c>
      <c r="I3" t="s">
        <v>367</v>
      </c>
      <c r="J3" t="s">
        <v>63</v>
      </c>
      <c r="K3" t="s">
        <v>64</v>
      </c>
      <c r="L3" t="s">
        <v>368</v>
      </c>
      <c r="M3" t="s">
        <v>267</v>
      </c>
      <c r="N3">
        <v>1</v>
      </c>
      <c r="Q3" t="s">
        <v>153</v>
      </c>
      <c r="R3" t="s">
        <v>63</v>
      </c>
      <c r="S3" t="s">
        <v>72</v>
      </c>
      <c r="T3" s="6" t="s">
        <v>63</v>
      </c>
      <c r="U3" s="6" t="s">
        <v>63</v>
      </c>
      <c r="V3" t="s">
        <v>73</v>
      </c>
      <c r="W3" t="s">
        <v>66</v>
      </c>
      <c r="X3">
        <v>0</v>
      </c>
    </row>
    <row r="4" spans="1:24" x14ac:dyDescent="0.3">
      <c r="A4" t="s">
        <v>258</v>
      </c>
      <c r="B4" t="s">
        <v>63</v>
      </c>
      <c r="C4" t="s">
        <v>64</v>
      </c>
      <c r="D4" t="s">
        <v>63</v>
      </c>
      <c r="E4" t="s">
        <v>259</v>
      </c>
      <c r="F4">
        <v>1</v>
      </c>
      <c r="I4" t="s">
        <v>369</v>
      </c>
      <c r="J4" t="s">
        <v>166</v>
      </c>
      <c r="K4" t="s">
        <v>78</v>
      </c>
      <c r="L4" t="s">
        <v>259</v>
      </c>
      <c r="M4" t="s">
        <v>274</v>
      </c>
      <c r="N4">
        <v>1</v>
      </c>
      <c r="Q4" t="s">
        <v>154</v>
      </c>
      <c r="R4" t="s">
        <v>155</v>
      </c>
      <c r="S4" t="s">
        <v>78</v>
      </c>
      <c r="T4" s="6" t="s">
        <v>90</v>
      </c>
      <c r="U4" s="6" t="s">
        <v>63</v>
      </c>
      <c r="V4" t="s">
        <v>156</v>
      </c>
      <c r="W4" t="s">
        <v>66</v>
      </c>
      <c r="X4">
        <v>6</v>
      </c>
    </row>
    <row r="5" spans="1:24" x14ac:dyDescent="0.3">
      <c r="A5" t="s">
        <v>260</v>
      </c>
      <c r="B5" t="s">
        <v>75</v>
      </c>
      <c r="C5" t="s">
        <v>108</v>
      </c>
      <c r="D5" t="s">
        <v>63</v>
      </c>
      <c r="E5" t="s">
        <v>261</v>
      </c>
      <c r="F5">
        <v>1</v>
      </c>
      <c r="I5" t="s">
        <v>370</v>
      </c>
      <c r="J5" t="s">
        <v>171</v>
      </c>
      <c r="K5" t="s">
        <v>155</v>
      </c>
      <c r="L5" t="s">
        <v>63</v>
      </c>
      <c r="M5" t="s">
        <v>189</v>
      </c>
      <c r="N5">
        <v>1</v>
      </c>
      <c r="Q5" t="s">
        <v>157</v>
      </c>
      <c r="R5" t="s">
        <v>158</v>
      </c>
      <c r="S5" t="s">
        <v>78</v>
      </c>
      <c r="T5" s="6" t="s">
        <v>158</v>
      </c>
      <c r="U5" s="6" t="s">
        <v>63</v>
      </c>
      <c r="V5" t="s">
        <v>159</v>
      </c>
      <c r="W5" t="s">
        <v>66</v>
      </c>
      <c r="X5">
        <v>7</v>
      </c>
    </row>
    <row r="6" spans="1:24" x14ac:dyDescent="0.3">
      <c r="A6" t="s">
        <v>262</v>
      </c>
      <c r="B6" t="s">
        <v>63</v>
      </c>
      <c r="C6" t="s">
        <v>64</v>
      </c>
      <c r="D6" t="s">
        <v>63</v>
      </c>
      <c r="E6" t="s">
        <v>263</v>
      </c>
      <c r="F6">
        <v>8</v>
      </c>
      <c r="I6" t="s">
        <v>371</v>
      </c>
      <c r="J6" t="s">
        <v>64</v>
      </c>
      <c r="K6" t="s">
        <v>166</v>
      </c>
      <c r="L6" t="s">
        <v>63</v>
      </c>
      <c r="M6" t="s">
        <v>156</v>
      </c>
      <c r="N6">
        <v>4</v>
      </c>
      <c r="Q6" t="s">
        <v>160</v>
      </c>
      <c r="R6" t="s">
        <v>63</v>
      </c>
      <c r="S6" t="s">
        <v>75</v>
      </c>
      <c r="T6" s="6" t="s">
        <v>158</v>
      </c>
      <c r="U6" s="6" t="s">
        <v>63</v>
      </c>
      <c r="V6" t="s">
        <v>161</v>
      </c>
      <c r="W6" t="s">
        <v>66</v>
      </c>
      <c r="X6">
        <v>7</v>
      </c>
    </row>
    <row r="7" spans="1:24" x14ac:dyDescent="0.3">
      <c r="A7" t="s">
        <v>264</v>
      </c>
      <c r="B7" t="s">
        <v>166</v>
      </c>
      <c r="C7" t="s">
        <v>155</v>
      </c>
      <c r="D7" t="s">
        <v>166</v>
      </c>
      <c r="E7" t="s">
        <v>261</v>
      </c>
      <c r="F7">
        <v>1</v>
      </c>
      <c r="G7" t="s">
        <v>492</v>
      </c>
      <c r="I7" t="s">
        <v>372</v>
      </c>
      <c r="J7" t="s">
        <v>63</v>
      </c>
      <c r="K7" t="s">
        <v>78</v>
      </c>
      <c r="L7" t="s">
        <v>373</v>
      </c>
      <c r="M7" t="s">
        <v>271</v>
      </c>
      <c r="N7">
        <v>8</v>
      </c>
      <c r="Q7" t="s">
        <v>162</v>
      </c>
      <c r="R7" t="s">
        <v>116</v>
      </c>
      <c r="S7" t="s">
        <v>108</v>
      </c>
      <c r="T7" s="6" t="s">
        <v>63</v>
      </c>
      <c r="U7" s="6" t="s">
        <v>63</v>
      </c>
      <c r="V7" t="s">
        <v>91</v>
      </c>
      <c r="W7" t="s">
        <v>66</v>
      </c>
      <c r="X7">
        <v>0</v>
      </c>
    </row>
    <row r="8" spans="1:24" x14ac:dyDescent="0.3">
      <c r="A8" t="s">
        <v>265</v>
      </c>
      <c r="B8" t="s">
        <v>119</v>
      </c>
      <c r="C8" t="s">
        <v>90</v>
      </c>
      <c r="D8" t="s">
        <v>63</v>
      </c>
      <c r="E8" t="s">
        <v>261</v>
      </c>
      <c r="F8">
        <v>2</v>
      </c>
      <c r="I8" t="s">
        <v>374</v>
      </c>
      <c r="J8" t="s">
        <v>171</v>
      </c>
      <c r="K8" t="s">
        <v>78</v>
      </c>
      <c r="L8" t="s">
        <v>368</v>
      </c>
      <c r="M8" t="s">
        <v>271</v>
      </c>
      <c r="N8">
        <v>2</v>
      </c>
      <c r="Q8" t="s">
        <v>163</v>
      </c>
      <c r="R8" t="s">
        <v>63</v>
      </c>
      <c r="S8" t="s">
        <v>85</v>
      </c>
      <c r="T8" s="6" t="s">
        <v>64</v>
      </c>
      <c r="U8" s="6" t="s">
        <v>63</v>
      </c>
      <c r="V8" t="s">
        <v>83</v>
      </c>
      <c r="W8" t="s">
        <v>66</v>
      </c>
      <c r="X8">
        <v>1</v>
      </c>
    </row>
    <row r="9" spans="1:24" x14ac:dyDescent="0.3">
      <c r="A9" t="s">
        <v>266</v>
      </c>
      <c r="B9" t="s">
        <v>64</v>
      </c>
      <c r="C9" t="s">
        <v>64</v>
      </c>
      <c r="D9" t="s">
        <v>166</v>
      </c>
      <c r="E9" t="s">
        <v>267</v>
      </c>
      <c r="F9">
        <v>1</v>
      </c>
      <c r="I9" t="s">
        <v>375</v>
      </c>
      <c r="J9" t="s">
        <v>64</v>
      </c>
      <c r="K9" t="s">
        <v>75</v>
      </c>
      <c r="L9" t="s">
        <v>376</v>
      </c>
      <c r="M9" t="s">
        <v>285</v>
      </c>
      <c r="N9">
        <v>5</v>
      </c>
      <c r="Q9" t="s">
        <v>164</v>
      </c>
      <c r="R9" t="s">
        <v>64</v>
      </c>
      <c r="S9" t="s">
        <v>82</v>
      </c>
      <c r="T9" s="6" t="s">
        <v>63</v>
      </c>
      <c r="U9" s="6" t="s">
        <v>63</v>
      </c>
      <c r="V9" t="s">
        <v>83</v>
      </c>
      <c r="W9" t="s">
        <v>66</v>
      </c>
      <c r="X9">
        <v>0</v>
      </c>
    </row>
    <row r="10" spans="1:24" x14ac:dyDescent="0.3">
      <c r="A10" t="s">
        <v>268</v>
      </c>
      <c r="B10" t="s">
        <v>78</v>
      </c>
      <c r="C10" t="s">
        <v>119</v>
      </c>
      <c r="D10" t="s">
        <v>166</v>
      </c>
      <c r="E10" t="s">
        <v>159</v>
      </c>
      <c r="F10">
        <v>2</v>
      </c>
      <c r="I10" t="s">
        <v>377</v>
      </c>
      <c r="J10" t="s">
        <v>78</v>
      </c>
      <c r="K10" t="s">
        <v>171</v>
      </c>
      <c r="L10" t="s">
        <v>373</v>
      </c>
      <c r="M10" t="s">
        <v>159</v>
      </c>
      <c r="N10">
        <v>6</v>
      </c>
      <c r="Q10" t="s">
        <v>165</v>
      </c>
      <c r="R10" t="s">
        <v>63</v>
      </c>
      <c r="S10" t="s">
        <v>98</v>
      </c>
      <c r="T10" s="6" t="s">
        <v>166</v>
      </c>
      <c r="U10" s="6" t="s">
        <v>63</v>
      </c>
      <c r="V10" t="s">
        <v>99</v>
      </c>
      <c r="W10" t="s">
        <v>66</v>
      </c>
      <c r="X10">
        <v>3</v>
      </c>
    </row>
    <row r="11" spans="1:24" x14ac:dyDescent="0.3">
      <c r="A11" t="s">
        <v>269</v>
      </c>
      <c r="B11" t="s">
        <v>78</v>
      </c>
      <c r="C11" t="s">
        <v>78</v>
      </c>
      <c r="D11" t="s">
        <v>166</v>
      </c>
      <c r="E11" t="s">
        <v>263</v>
      </c>
      <c r="F11">
        <v>4</v>
      </c>
      <c r="I11" t="s">
        <v>378</v>
      </c>
      <c r="J11" t="s">
        <v>166</v>
      </c>
      <c r="K11" t="s">
        <v>78</v>
      </c>
      <c r="L11" t="s">
        <v>63</v>
      </c>
      <c r="M11" t="s">
        <v>263</v>
      </c>
      <c r="N11">
        <v>1</v>
      </c>
      <c r="Q11" t="s">
        <v>167</v>
      </c>
      <c r="R11" t="s">
        <v>63</v>
      </c>
      <c r="S11" t="s">
        <v>103</v>
      </c>
      <c r="T11" s="6" t="s">
        <v>78</v>
      </c>
      <c r="U11" s="6" t="s">
        <v>63</v>
      </c>
      <c r="V11" t="s">
        <v>80</v>
      </c>
      <c r="W11" t="s">
        <v>66</v>
      </c>
      <c r="X11">
        <v>2</v>
      </c>
    </row>
    <row r="12" spans="1:24" x14ac:dyDescent="0.3">
      <c r="A12" t="s">
        <v>270</v>
      </c>
      <c r="B12" t="s">
        <v>75</v>
      </c>
      <c r="C12" t="s">
        <v>166</v>
      </c>
      <c r="D12" t="s">
        <v>166</v>
      </c>
      <c r="E12" t="s">
        <v>271</v>
      </c>
      <c r="F12">
        <v>2</v>
      </c>
      <c r="I12" t="s">
        <v>379</v>
      </c>
      <c r="J12" t="s">
        <v>75</v>
      </c>
      <c r="K12" t="s">
        <v>155</v>
      </c>
      <c r="L12" t="s">
        <v>63</v>
      </c>
      <c r="M12" t="s">
        <v>189</v>
      </c>
      <c r="N12">
        <v>2</v>
      </c>
      <c r="Q12" t="s">
        <v>168</v>
      </c>
      <c r="R12" t="s">
        <v>119</v>
      </c>
      <c r="S12" t="s">
        <v>90</v>
      </c>
      <c r="T12" s="6" t="s">
        <v>166</v>
      </c>
      <c r="U12" s="6" t="s">
        <v>63</v>
      </c>
      <c r="V12" t="s">
        <v>65</v>
      </c>
      <c r="W12" t="s">
        <v>66</v>
      </c>
      <c r="X12">
        <v>3</v>
      </c>
    </row>
    <row r="13" spans="1:24" x14ac:dyDescent="0.3">
      <c r="A13" t="s">
        <v>272</v>
      </c>
      <c r="B13" t="s">
        <v>78</v>
      </c>
      <c r="C13" t="s">
        <v>90</v>
      </c>
      <c r="D13" t="s">
        <v>63</v>
      </c>
      <c r="E13" t="s">
        <v>159</v>
      </c>
      <c r="F13">
        <v>7</v>
      </c>
      <c r="I13" t="s">
        <v>380</v>
      </c>
      <c r="J13" t="s">
        <v>78</v>
      </c>
      <c r="K13" t="s">
        <v>119</v>
      </c>
      <c r="L13" t="s">
        <v>376</v>
      </c>
      <c r="M13" t="s">
        <v>159</v>
      </c>
      <c r="N13">
        <v>1</v>
      </c>
      <c r="Q13" t="s">
        <v>169</v>
      </c>
      <c r="R13" t="s">
        <v>170</v>
      </c>
      <c r="S13" t="s">
        <v>78</v>
      </c>
      <c r="T13" s="6" t="s">
        <v>171</v>
      </c>
      <c r="U13" s="6" t="s">
        <v>63</v>
      </c>
      <c r="V13" t="s">
        <v>66</v>
      </c>
      <c r="W13" t="s">
        <v>66</v>
      </c>
      <c r="X13">
        <v>5</v>
      </c>
    </row>
    <row r="14" spans="1:24" x14ac:dyDescent="0.3">
      <c r="A14" t="s">
        <v>273</v>
      </c>
      <c r="B14" t="s">
        <v>63</v>
      </c>
      <c r="C14" t="s">
        <v>64</v>
      </c>
      <c r="D14" t="s">
        <v>63</v>
      </c>
      <c r="E14" t="s">
        <v>274</v>
      </c>
      <c r="F14">
        <v>7</v>
      </c>
      <c r="I14" t="s">
        <v>381</v>
      </c>
      <c r="J14" t="s">
        <v>63</v>
      </c>
      <c r="K14" t="s">
        <v>75</v>
      </c>
      <c r="L14" t="s">
        <v>368</v>
      </c>
      <c r="M14" t="s">
        <v>271</v>
      </c>
      <c r="N14">
        <v>5</v>
      </c>
      <c r="Q14" t="s">
        <v>172</v>
      </c>
      <c r="R14" t="s">
        <v>173</v>
      </c>
      <c r="S14" t="s">
        <v>90</v>
      </c>
      <c r="T14" s="6" t="s">
        <v>78</v>
      </c>
      <c r="U14" s="6" t="s">
        <v>63</v>
      </c>
      <c r="V14" t="s">
        <v>174</v>
      </c>
      <c r="W14" t="s">
        <v>66</v>
      </c>
      <c r="X14">
        <v>2</v>
      </c>
    </row>
    <row r="15" spans="1:24" x14ac:dyDescent="0.3">
      <c r="A15" t="s">
        <v>275</v>
      </c>
      <c r="B15" t="s">
        <v>63</v>
      </c>
      <c r="C15" t="s">
        <v>64</v>
      </c>
      <c r="D15" t="s">
        <v>63</v>
      </c>
      <c r="E15" t="s">
        <v>276</v>
      </c>
      <c r="F15">
        <v>5</v>
      </c>
      <c r="I15" t="s">
        <v>382</v>
      </c>
      <c r="J15" t="s">
        <v>171</v>
      </c>
      <c r="K15" t="s">
        <v>158</v>
      </c>
      <c r="L15" t="s">
        <v>373</v>
      </c>
      <c r="M15" t="s">
        <v>261</v>
      </c>
      <c r="N15">
        <v>1</v>
      </c>
      <c r="Q15" t="s">
        <v>175</v>
      </c>
      <c r="R15" t="s">
        <v>173</v>
      </c>
      <c r="S15" t="s">
        <v>119</v>
      </c>
      <c r="T15" s="6" t="s">
        <v>64</v>
      </c>
      <c r="U15" s="6" t="s">
        <v>63</v>
      </c>
      <c r="V15" t="s">
        <v>91</v>
      </c>
      <c r="W15" t="s">
        <v>66</v>
      </c>
      <c r="X15">
        <v>1</v>
      </c>
    </row>
    <row r="16" spans="1:24" x14ac:dyDescent="0.3">
      <c r="A16" t="s">
        <v>277</v>
      </c>
      <c r="B16" t="s">
        <v>63</v>
      </c>
      <c r="C16" t="s">
        <v>64</v>
      </c>
      <c r="D16" t="s">
        <v>63</v>
      </c>
      <c r="E16" t="s">
        <v>267</v>
      </c>
      <c r="F16">
        <v>3</v>
      </c>
      <c r="I16" t="s">
        <v>383</v>
      </c>
      <c r="J16" t="s">
        <v>166</v>
      </c>
      <c r="K16" t="s">
        <v>64</v>
      </c>
      <c r="L16" t="s">
        <v>368</v>
      </c>
      <c r="M16" t="s">
        <v>282</v>
      </c>
      <c r="N16">
        <v>1</v>
      </c>
      <c r="Q16" t="s">
        <v>176</v>
      </c>
      <c r="R16" t="s">
        <v>78</v>
      </c>
      <c r="S16" t="s">
        <v>87</v>
      </c>
      <c r="T16" s="6" t="s">
        <v>63</v>
      </c>
      <c r="U16" s="6" t="s">
        <v>63</v>
      </c>
      <c r="V16" t="s">
        <v>88</v>
      </c>
      <c r="W16" t="s">
        <v>66</v>
      </c>
      <c r="X16">
        <v>0</v>
      </c>
    </row>
    <row r="17" spans="1:24" x14ac:dyDescent="0.3">
      <c r="A17" t="s">
        <v>278</v>
      </c>
      <c r="B17" t="s">
        <v>63</v>
      </c>
      <c r="C17" t="s">
        <v>64</v>
      </c>
      <c r="D17" t="s">
        <v>63</v>
      </c>
      <c r="E17" t="s">
        <v>68</v>
      </c>
      <c r="F17">
        <v>2</v>
      </c>
      <c r="I17" t="s">
        <v>384</v>
      </c>
      <c r="J17" t="s">
        <v>64</v>
      </c>
      <c r="K17" t="s">
        <v>90</v>
      </c>
      <c r="L17" t="s">
        <v>373</v>
      </c>
      <c r="M17" t="s">
        <v>285</v>
      </c>
      <c r="N17">
        <v>4</v>
      </c>
      <c r="Q17" t="s">
        <v>177</v>
      </c>
      <c r="R17" t="s">
        <v>63</v>
      </c>
      <c r="S17" t="s">
        <v>119</v>
      </c>
      <c r="T17" s="6" t="s">
        <v>90</v>
      </c>
      <c r="U17" s="6" t="s">
        <v>63</v>
      </c>
      <c r="V17" t="s">
        <v>174</v>
      </c>
      <c r="W17" t="s">
        <v>66</v>
      </c>
      <c r="X17">
        <v>6</v>
      </c>
    </row>
    <row r="18" spans="1:24" x14ac:dyDescent="0.3">
      <c r="A18" t="s">
        <v>279</v>
      </c>
      <c r="B18" t="s">
        <v>63</v>
      </c>
      <c r="C18" t="s">
        <v>64</v>
      </c>
      <c r="D18" t="s">
        <v>63</v>
      </c>
      <c r="E18" t="s">
        <v>280</v>
      </c>
      <c r="F18">
        <v>4</v>
      </c>
      <c r="I18" t="s">
        <v>385</v>
      </c>
      <c r="J18" t="s">
        <v>63</v>
      </c>
      <c r="K18" t="s">
        <v>64</v>
      </c>
      <c r="L18" t="s">
        <v>376</v>
      </c>
      <c r="M18" t="s">
        <v>274</v>
      </c>
      <c r="N18">
        <v>5</v>
      </c>
      <c r="Q18" t="s">
        <v>178</v>
      </c>
      <c r="R18" t="s">
        <v>63</v>
      </c>
      <c r="S18" t="s">
        <v>105</v>
      </c>
      <c r="T18" s="6" t="s">
        <v>171</v>
      </c>
      <c r="U18" s="6" t="s">
        <v>63</v>
      </c>
      <c r="V18" t="s">
        <v>106</v>
      </c>
      <c r="W18" t="s">
        <v>66</v>
      </c>
      <c r="X18">
        <v>5</v>
      </c>
    </row>
    <row r="19" spans="1:24" x14ac:dyDescent="0.3">
      <c r="A19" t="s">
        <v>281</v>
      </c>
      <c r="B19" t="s">
        <v>63</v>
      </c>
      <c r="C19" t="s">
        <v>64</v>
      </c>
      <c r="D19" t="s">
        <v>63</v>
      </c>
      <c r="E19" t="s">
        <v>282</v>
      </c>
      <c r="F19">
        <v>6</v>
      </c>
      <c r="I19" t="s">
        <v>386</v>
      </c>
      <c r="J19" t="s">
        <v>63</v>
      </c>
      <c r="K19" t="s">
        <v>64</v>
      </c>
      <c r="L19" t="s">
        <v>368</v>
      </c>
      <c r="M19" t="s">
        <v>280</v>
      </c>
      <c r="N19">
        <v>2</v>
      </c>
      <c r="Q19" t="s">
        <v>179</v>
      </c>
      <c r="R19" t="s">
        <v>63</v>
      </c>
      <c r="S19" t="s">
        <v>128</v>
      </c>
      <c r="T19" s="6" t="s">
        <v>75</v>
      </c>
      <c r="U19" s="6" t="s">
        <v>63</v>
      </c>
      <c r="V19" t="s">
        <v>123</v>
      </c>
      <c r="W19" t="s">
        <v>66</v>
      </c>
      <c r="X19">
        <v>4</v>
      </c>
    </row>
    <row r="20" spans="1:24" x14ac:dyDescent="0.3">
      <c r="A20" t="s">
        <v>283</v>
      </c>
      <c r="B20" t="s">
        <v>158</v>
      </c>
      <c r="C20" t="s">
        <v>90</v>
      </c>
      <c r="D20" t="s">
        <v>63</v>
      </c>
      <c r="E20" t="s">
        <v>261</v>
      </c>
      <c r="F20">
        <v>3</v>
      </c>
      <c r="I20" t="s">
        <v>387</v>
      </c>
      <c r="J20" t="s">
        <v>63</v>
      </c>
      <c r="K20" t="s">
        <v>64</v>
      </c>
      <c r="L20" t="s">
        <v>368</v>
      </c>
      <c r="M20" t="s">
        <v>276</v>
      </c>
      <c r="N20">
        <v>3</v>
      </c>
      <c r="Q20" t="s">
        <v>180</v>
      </c>
      <c r="R20" t="s">
        <v>155</v>
      </c>
      <c r="S20" t="s">
        <v>75</v>
      </c>
      <c r="T20" s="6" t="s">
        <v>75</v>
      </c>
      <c r="U20" s="6" t="s">
        <v>63</v>
      </c>
      <c r="V20" t="s">
        <v>181</v>
      </c>
      <c r="W20" t="s">
        <v>66</v>
      </c>
      <c r="X20">
        <v>4</v>
      </c>
    </row>
    <row r="21" spans="1:24" x14ac:dyDescent="0.3">
      <c r="A21" t="s">
        <v>284</v>
      </c>
      <c r="B21" t="s">
        <v>158</v>
      </c>
      <c r="C21" t="s">
        <v>90</v>
      </c>
      <c r="D21" t="s">
        <v>63</v>
      </c>
      <c r="E21" t="s">
        <v>285</v>
      </c>
      <c r="F21">
        <v>1</v>
      </c>
      <c r="I21" t="s">
        <v>388</v>
      </c>
      <c r="J21" t="s">
        <v>75</v>
      </c>
      <c r="K21" t="s">
        <v>119</v>
      </c>
      <c r="L21" t="s">
        <v>63</v>
      </c>
      <c r="M21" t="s">
        <v>189</v>
      </c>
      <c r="N21">
        <v>3</v>
      </c>
      <c r="Q21" t="s">
        <v>182</v>
      </c>
      <c r="R21" t="s">
        <v>125</v>
      </c>
      <c r="S21" t="s">
        <v>125</v>
      </c>
      <c r="T21" s="6" t="s">
        <v>63</v>
      </c>
      <c r="U21" s="6" t="s">
        <v>63</v>
      </c>
      <c r="V21" t="s">
        <v>109</v>
      </c>
      <c r="W21" t="s">
        <v>66</v>
      </c>
      <c r="X21">
        <v>0</v>
      </c>
    </row>
    <row r="22" spans="1:24" x14ac:dyDescent="0.3">
      <c r="A22" t="s">
        <v>286</v>
      </c>
      <c r="B22" t="s">
        <v>158</v>
      </c>
      <c r="C22" t="s">
        <v>171</v>
      </c>
      <c r="D22" t="s">
        <v>63</v>
      </c>
      <c r="E22" t="s">
        <v>156</v>
      </c>
      <c r="F22">
        <v>1</v>
      </c>
      <c r="I22" t="s">
        <v>389</v>
      </c>
      <c r="J22" t="s">
        <v>63</v>
      </c>
      <c r="K22" t="s">
        <v>64</v>
      </c>
      <c r="L22" t="s">
        <v>368</v>
      </c>
      <c r="M22" t="s">
        <v>282</v>
      </c>
      <c r="N22">
        <v>4</v>
      </c>
      <c r="Q22" t="s">
        <v>183</v>
      </c>
      <c r="R22" t="s">
        <v>108</v>
      </c>
      <c r="S22" t="s">
        <v>78</v>
      </c>
      <c r="T22" s="6" t="s">
        <v>90</v>
      </c>
      <c r="U22" s="6" t="s">
        <v>63</v>
      </c>
      <c r="V22" t="s">
        <v>184</v>
      </c>
      <c r="W22" t="s">
        <v>66</v>
      </c>
      <c r="X22">
        <v>6</v>
      </c>
    </row>
    <row r="23" spans="1:24" x14ac:dyDescent="0.3">
      <c r="A23" t="s">
        <v>287</v>
      </c>
      <c r="B23" t="s">
        <v>158</v>
      </c>
      <c r="C23" t="s">
        <v>75</v>
      </c>
      <c r="D23" t="s">
        <v>63</v>
      </c>
      <c r="E23" t="s">
        <v>271</v>
      </c>
      <c r="F23">
        <v>1</v>
      </c>
      <c r="I23" t="s">
        <v>390</v>
      </c>
      <c r="J23" t="s">
        <v>171</v>
      </c>
      <c r="K23" t="s">
        <v>90</v>
      </c>
      <c r="L23" t="s">
        <v>368</v>
      </c>
      <c r="M23" t="s">
        <v>261</v>
      </c>
      <c r="N23">
        <v>2</v>
      </c>
      <c r="Q23" t="s">
        <v>185</v>
      </c>
      <c r="R23" t="s">
        <v>63</v>
      </c>
      <c r="S23" t="s">
        <v>101</v>
      </c>
      <c r="T23" s="6" t="s">
        <v>64</v>
      </c>
      <c r="U23" s="6" t="s">
        <v>63</v>
      </c>
      <c r="V23" t="s">
        <v>88</v>
      </c>
      <c r="W23" t="s">
        <v>66</v>
      </c>
      <c r="X23">
        <v>1</v>
      </c>
    </row>
    <row r="24" spans="1:24" x14ac:dyDescent="0.3">
      <c r="A24" t="s">
        <v>288</v>
      </c>
      <c r="B24" t="s">
        <v>75</v>
      </c>
      <c r="C24" t="s">
        <v>155</v>
      </c>
      <c r="D24" t="s">
        <v>63</v>
      </c>
      <c r="E24" t="s">
        <v>159</v>
      </c>
      <c r="F24">
        <v>1</v>
      </c>
      <c r="I24" t="s">
        <v>391</v>
      </c>
      <c r="J24" t="s">
        <v>171</v>
      </c>
      <c r="K24" t="s">
        <v>166</v>
      </c>
      <c r="L24" t="s">
        <v>368</v>
      </c>
      <c r="M24" t="s">
        <v>271</v>
      </c>
      <c r="N24">
        <v>1</v>
      </c>
      <c r="Q24" t="s">
        <v>186</v>
      </c>
      <c r="R24" t="s">
        <v>187</v>
      </c>
      <c r="S24" t="s">
        <v>108</v>
      </c>
      <c r="T24" s="6" t="s">
        <v>64</v>
      </c>
      <c r="U24" s="6" t="s">
        <v>63</v>
      </c>
      <c r="V24" t="s">
        <v>91</v>
      </c>
      <c r="W24" t="s">
        <v>66</v>
      </c>
      <c r="X24">
        <v>1</v>
      </c>
    </row>
    <row r="25" spans="1:24" x14ac:dyDescent="0.3">
      <c r="A25" t="s">
        <v>289</v>
      </c>
      <c r="B25" t="s">
        <v>63</v>
      </c>
      <c r="C25" t="s">
        <v>166</v>
      </c>
      <c r="D25" t="s">
        <v>63</v>
      </c>
      <c r="E25" t="s">
        <v>271</v>
      </c>
      <c r="F25">
        <v>7</v>
      </c>
      <c r="I25" t="s">
        <v>392</v>
      </c>
      <c r="J25" t="s">
        <v>75</v>
      </c>
      <c r="K25" t="s">
        <v>119</v>
      </c>
      <c r="L25" t="s">
        <v>376</v>
      </c>
      <c r="M25" t="s">
        <v>261</v>
      </c>
      <c r="N25">
        <v>1</v>
      </c>
      <c r="Q25" t="s">
        <v>188</v>
      </c>
      <c r="R25" t="s">
        <v>75</v>
      </c>
      <c r="S25" t="s">
        <v>75</v>
      </c>
      <c r="T25" s="6" t="s">
        <v>171</v>
      </c>
      <c r="U25" s="6" t="s">
        <v>63</v>
      </c>
      <c r="V25" t="s">
        <v>189</v>
      </c>
      <c r="W25" t="s">
        <v>66</v>
      </c>
      <c r="X25">
        <v>5</v>
      </c>
    </row>
    <row r="26" spans="1:24" x14ac:dyDescent="0.3">
      <c r="A26" t="s">
        <v>290</v>
      </c>
      <c r="B26" t="s">
        <v>63</v>
      </c>
      <c r="C26" t="s">
        <v>75</v>
      </c>
      <c r="D26" t="s">
        <v>63</v>
      </c>
      <c r="E26" t="s">
        <v>280</v>
      </c>
      <c r="F26">
        <v>1</v>
      </c>
      <c r="I26" t="s">
        <v>393</v>
      </c>
      <c r="J26" t="s">
        <v>63</v>
      </c>
      <c r="K26" t="s">
        <v>75</v>
      </c>
      <c r="L26" t="s">
        <v>368</v>
      </c>
      <c r="M26" t="s">
        <v>274</v>
      </c>
      <c r="N26">
        <v>1</v>
      </c>
      <c r="Q26" t="s">
        <v>190</v>
      </c>
      <c r="R26" t="s">
        <v>105</v>
      </c>
      <c r="S26" t="s">
        <v>125</v>
      </c>
      <c r="T26" s="6" t="s">
        <v>64</v>
      </c>
      <c r="U26" s="6" t="s">
        <v>63</v>
      </c>
      <c r="V26" t="s">
        <v>191</v>
      </c>
      <c r="W26" t="s">
        <v>66</v>
      </c>
      <c r="X26">
        <v>1</v>
      </c>
    </row>
    <row r="27" spans="1:24" x14ac:dyDescent="0.3">
      <c r="A27" t="s">
        <v>291</v>
      </c>
      <c r="B27" t="s">
        <v>166</v>
      </c>
      <c r="C27" t="s">
        <v>158</v>
      </c>
      <c r="D27" t="s">
        <v>63</v>
      </c>
      <c r="E27" t="s">
        <v>159</v>
      </c>
      <c r="F27">
        <v>5</v>
      </c>
      <c r="I27" t="s">
        <v>394</v>
      </c>
      <c r="J27" t="s">
        <v>64</v>
      </c>
      <c r="K27" t="s">
        <v>166</v>
      </c>
      <c r="L27" t="s">
        <v>368</v>
      </c>
      <c r="M27" t="s">
        <v>271</v>
      </c>
      <c r="N27">
        <v>3</v>
      </c>
      <c r="Q27" t="s">
        <v>192</v>
      </c>
      <c r="R27" t="s">
        <v>64</v>
      </c>
      <c r="S27" t="s">
        <v>114</v>
      </c>
      <c r="T27" s="6" t="s">
        <v>64</v>
      </c>
      <c r="U27" s="6" t="s">
        <v>63</v>
      </c>
      <c r="V27" t="s">
        <v>88</v>
      </c>
      <c r="W27" t="s">
        <v>66</v>
      </c>
      <c r="X27">
        <v>1</v>
      </c>
    </row>
    <row r="28" spans="1:24" x14ac:dyDescent="0.3">
      <c r="A28" t="s">
        <v>292</v>
      </c>
      <c r="B28" t="s">
        <v>78</v>
      </c>
      <c r="C28" t="s">
        <v>158</v>
      </c>
      <c r="D28" t="s">
        <v>63</v>
      </c>
      <c r="E28" t="s">
        <v>159</v>
      </c>
      <c r="F28">
        <v>6</v>
      </c>
      <c r="I28" t="s">
        <v>395</v>
      </c>
      <c r="J28" t="s">
        <v>63</v>
      </c>
      <c r="K28" t="s">
        <v>78</v>
      </c>
      <c r="L28" t="s">
        <v>259</v>
      </c>
      <c r="M28" t="s">
        <v>274</v>
      </c>
      <c r="N28">
        <v>4</v>
      </c>
      <c r="Q28" t="s">
        <v>193</v>
      </c>
      <c r="R28" t="s">
        <v>170</v>
      </c>
      <c r="S28" t="s">
        <v>116</v>
      </c>
      <c r="T28" s="6" t="s">
        <v>63</v>
      </c>
      <c r="U28" s="6" t="s">
        <v>63</v>
      </c>
      <c r="V28" t="s">
        <v>191</v>
      </c>
      <c r="W28" t="s">
        <v>66</v>
      </c>
      <c r="X28">
        <v>0</v>
      </c>
    </row>
    <row r="29" spans="1:24" x14ac:dyDescent="0.3">
      <c r="A29" t="s">
        <v>293</v>
      </c>
      <c r="B29" t="s">
        <v>64</v>
      </c>
      <c r="C29" t="s">
        <v>158</v>
      </c>
      <c r="D29" t="s">
        <v>166</v>
      </c>
      <c r="E29" t="s">
        <v>285</v>
      </c>
      <c r="F29">
        <v>3</v>
      </c>
      <c r="I29" t="s">
        <v>396</v>
      </c>
      <c r="J29" t="s">
        <v>78</v>
      </c>
      <c r="K29" t="s">
        <v>171</v>
      </c>
      <c r="L29" t="s">
        <v>376</v>
      </c>
      <c r="M29" t="s">
        <v>271</v>
      </c>
      <c r="N29">
        <v>1</v>
      </c>
      <c r="Q29" t="s">
        <v>194</v>
      </c>
      <c r="R29" t="s">
        <v>166</v>
      </c>
      <c r="S29" t="s">
        <v>133</v>
      </c>
      <c r="T29" s="6" t="s">
        <v>64</v>
      </c>
      <c r="U29" s="6" t="s">
        <v>63</v>
      </c>
      <c r="V29" t="s">
        <v>112</v>
      </c>
      <c r="W29" t="s">
        <v>66</v>
      </c>
      <c r="X29">
        <v>1</v>
      </c>
    </row>
    <row r="30" spans="1:24" x14ac:dyDescent="0.3">
      <c r="A30" t="s">
        <v>294</v>
      </c>
      <c r="B30" t="s">
        <v>171</v>
      </c>
      <c r="C30" t="s">
        <v>171</v>
      </c>
      <c r="D30" t="s">
        <v>63</v>
      </c>
      <c r="E30" t="s">
        <v>285</v>
      </c>
      <c r="F30">
        <v>4</v>
      </c>
      <c r="I30" t="s">
        <v>397</v>
      </c>
      <c r="J30" t="s">
        <v>63</v>
      </c>
      <c r="K30" t="s">
        <v>166</v>
      </c>
      <c r="L30" t="s">
        <v>368</v>
      </c>
      <c r="M30" t="s">
        <v>282</v>
      </c>
      <c r="N30">
        <v>1</v>
      </c>
      <c r="Q30" t="s">
        <v>195</v>
      </c>
      <c r="R30" t="s">
        <v>108</v>
      </c>
      <c r="S30" t="s">
        <v>196</v>
      </c>
      <c r="T30" s="6" t="s">
        <v>63</v>
      </c>
      <c r="U30" s="6" t="s">
        <v>63</v>
      </c>
      <c r="V30" t="s">
        <v>117</v>
      </c>
      <c r="W30" t="s">
        <v>66</v>
      </c>
      <c r="X30">
        <v>0</v>
      </c>
    </row>
    <row r="31" spans="1:24" x14ac:dyDescent="0.3">
      <c r="A31" t="s">
        <v>295</v>
      </c>
      <c r="B31" t="s">
        <v>90</v>
      </c>
      <c r="C31" t="s">
        <v>75</v>
      </c>
      <c r="D31" t="s">
        <v>63</v>
      </c>
      <c r="E31" t="s">
        <v>156</v>
      </c>
      <c r="F31">
        <v>3</v>
      </c>
      <c r="I31" t="s">
        <v>398</v>
      </c>
      <c r="J31" t="s">
        <v>171</v>
      </c>
      <c r="K31" t="s">
        <v>119</v>
      </c>
      <c r="L31" t="s">
        <v>63</v>
      </c>
      <c r="M31" t="s">
        <v>184</v>
      </c>
      <c r="N31">
        <v>1</v>
      </c>
      <c r="Q31" t="s">
        <v>197</v>
      </c>
      <c r="R31" t="s">
        <v>158</v>
      </c>
      <c r="S31" t="s">
        <v>119</v>
      </c>
      <c r="T31" s="6" t="s">
        <v>78</v>
      </c>
      <c r="U31" s="6" t="s">
        <v>63</v>
      </c>
      <c r="V31" t="s">
        <v>181</v>
      </c>
      <c r="W31" t="s">
        <v>66</v>
      </c>
      <c r="X31">
        <v>2</v>
      </c>
    </row>
    <row r="32" spans="1:24" x14ac:dyDescent="0.3">
      <c r="A32" t="s">
        <v>296</v>
      </c>
      <c r="B32" t="s">
        <v>90</v>
      </c>
      <c r="C32" t="s">
        <v>171</v>
      </c>
      <c r="D32" t="s">
        <v>63</v>
      </c>
      <c r="E32" t="s">
        <v>156</v>
      </c>
      <c r="F32">
        <v>2</v>
      </c>
      <c r="I32" t="s">
        <v>399</v>
      </c>
      <c r="J32" t="s">
        <v>63</v>
      </c>
      <c r="K32" t="s">
        <v>171</v>
      </c>
      <c r="L32" t="s">
        <v>368</v>
      </c>
      <c r="M32" t="s">
        <v>271</v>
      </c>
      <c r="N32">
        <v>4</v>
      </c>
      <c r="Q32" t="s">
        <v>198</v>
      </c>
      <c r="R32" t="s">
        <v>64</v>
      </c>
      <c r="S32" t="s">
        <v>75</v>
      </c>
      <c r="T32" s="6" t="s">
        <v>90</v>
      </c>
      <c r="U32" s="6" t="s">
        <v>63</v>
      </c>
      <c r="V32" t="s">
        <v>76</v>
      </c>
      <c r="W32" t="s">
        <v>66</v>
      </c>
      <c r="X32">
        <v>6</v>
      </c>
    </row>
    <row r="33" spans="1:24" x14ac:dyDescent="0.3">
      <c r="A33" t="s">
        <v>297</v>
      </c>
      <c r="B33" t="s">
        <v>171</v>
      </c>
      <c r="C33" t="s">
        <v>75</v>
      </c>
      <c r="D33" t="s">
        <v>63</v>
      </c>
      <c r="E33" t="s">
        <v>271</v>
      </c>
      <c r="F33">
        <v>3</v>
      </c>
      <c r="I33" t="s">
        <v>400</v>
      </c>
      <c r="J33" t="s">
        <v>64</v>
      </c>
      <c r="K33" t="s">
        <v>158</v>
      </c>
      <c r="L33" t="s">
        <v>373</v>
      </c>
      <c r="M33" t="s">
        <v>285</v>
      </c>
      <c r="N33">
        <v>3</v>
      </c>
      <c r="Q33" t="s">
        <v>199</v>
      </c>
      <c r="R33" t="s">
        <v>90</v>
      </c>
      <c r="S33" t="s">
        <v>105</v>
      </c>
      <c r="T33" s="6" t="s">
        <v>78</v>
      </c>
      <c r="U33" s="6" t="s">
        <v>63</v>
      </c>
      <c r="V33" t="s">
        <v>200</v>
      </c>
      <c r="W33" t="s">
        <v>66</v>
      </c>
      <c r="X33">
        <v>2</v>
      </c>
    </row>
    <row r="34" spans="1:24" x14ac:dyDescent="0.3">
      <c r="A34" t="s">
        <v>298</v>
      </c>
      <c r="B34" t="s">
        <v>166</v>
      </c>
      <c r="C34" t="s">
        <v>171</v>
      </c>
      <c r="D34" t="s">
        <v>63</v>
      </c>
      <c r="E34" t="s">
        <v>271</v>
      </c>
      <c r="F34">
        <v>1</v>
      </c>
      <c r="I34" t="s">
        <v>401</v>
      </c>
      <c r="J34" t="s">
        <v>171</v>
      </c>
      <c r="K34" t="s">
        <v>171</v>
      </c>
      <c r="L34" t="s">
        <v>368</v>
      </c>
      <c r="M34" t="s">
        <v>159</v>
      </c>
      <c r="N34">
        <v>2</v>
      </c>
      <c r="Q34" t="s">
        <v>201</v>
      </c>
      <c r="R34" t="s">
        <v>171</v>
      </c>
      <c r="S34" t="s">
        <v>90</v>
      </c>
      <c r="T34" s="6" t="s">
        <v>75</v>
      </c>
      <c r="U34" s="6" t="s">
        <v>63</v>
      </c>
      <c r="V34" t="s">
        <v>200</v>
      </c>
      <c r="W34" t="s">
        <v>66</v>
      </c>
      <c r="X34">
        <v>4</v>
      </c>
    </row>
    <row r="35" spans="1:24" x14ac:dyDescent="0.3">
      <c r="A35" t="s">
        <v>299</v>
      </c>
      <c r="B35" t="s">
        <v>64</v>
      </c>
      <c r="C35" t="s">
        <v>158</v>
      </c>
      <c r="D35" t="s">
        <v>63</v>
      </c>
      <c r="E35" t="s">
        <v>263</v>
      </c>
      <c r="F35">
        <v>1</v>
      </c>
      <c r="I35" t="s">
        <v>402</v>
      </c>
      <c r="J35" t="s">
        <v>75</v>
      </c>
      <c r="K35" t="s">
        <v>75</v>
      </c>
      <c r="L35" t="s">
        <v>368</v>
      </c>
      <c r="M35" t="s">
        <v>156</v>
      </c>
      <c r="N35">
        <v>2</v>
      </c>
      <c r="Q35" t="s">
        <v>202</v>
      </c>
      <c r="R35" t="s">
        <v>119</v>
      </c>
      <c r="S35" t="s">
        <v>125</v>
      </c>
      <c r="T35" s="6" t="s">
        <v>64</v>
      </c>
      <c r="U35" s="6" t="s">
        <v>63</v>
      </c>
      <c r="V35" t="s">
        <v>120</v>
      </c>
      <c r="W35" t="s">
        <v>66</v>
      </c>
      <c r="X35">
        <v>1</v>
      </c>
    </row>
    <row r="36" spans="1:24" x14ac:dyDescent="0.3">
      <c r="A36" t="s">
        <v>300</v>
      </c>
      <c r="B36" t="s">
        <v>63</v>
      </c>
      <c r="C36" t="s">
        <v>166</v>
      </c>
      <c r="D36" t="s">
        <v>63</v>
      </c>
      <c r="E36" t="s">
        <v>263</v>
      </c>
      <c r="F36">
        <v>6</v>
      </c>
      <c r="I36" t="s">
        <v>403</v>
      </c>
      <c r="J36" t="s">
        <v>75</v>
      </c>
      <c r="K36" t="s">
        <v>64</v>
      </c>
      <c r="L36" t="s">
        <v>368</v>
      </c>
      <c r="M36" t="s">
        <v>274</v>
      </c>
      <c r="N36">
        <v>2</v>
      </c>
      <c r="Q36" t="s">
        <v>203</v>
      </c>
      <c r="R36" t="s">
        <v>155</v>
      </c>
      <c r="S36" t="s">
        <v>105</v>
      </c>
      <c r="T36" s="6" t="s">
        <v>64</v>
      </c>
      <c r="U36" s="6" t="s">
        <v>63</v>
      </c>
      <c r="V36" t="s">
        <v>109</v>
      </c>
      <c r="W36" t="s">
        <v>66</v>
      </c>
      <c r="X36">
        <v>1</v>
      </c>
    </row>
    <row r="37" spans="1:24" x14ac:dyDescent="0.3">
      <c r="A37" t="s">
        <v>301</v>
      </c>
      <c r="B37" t="s">
        <v>63</v>
      </c>
      <c r="C37" t="s">
        <v>155</v>
      </c>
      <c r="D37" t="s">
        <v>63</v>
      </c>
      <c r="E37" t="s">
        <v>285</v>
      </c>
      <c r="F37">
        <v>4</v>
      </c>
      <c r="I37" t="s">
        <v>404</v>
      </c>
      <c r="J37" t="s">
        <v>171</v>
      </c>
      <c r="K37" t="s">
        <v>158</v>
      </c>
      <c r="L37" t="s">
        <v>368</v>
      </c>
      <c r="M37" t="s">
        <v>184</v>
      </c>
      <c r="N37">
        <v>2</v>
      </c>
      <c r="Q37" t="s">
        <v>204</v>
      </c>
      <c r="R37" t="s">
        <v>166</v>
      </c>
      <c r="S37" t="s">
        <v>93</v>
      </c>
      <c r="T37" s="6" t="s">
        <v>64</v>
      </c>
      <c r="U37" s="6" t="s">
        <v>63</v>
      </c>
      <c r="V37" t="s">
        <v>131</v>
      </c>
      <c r="W37" t="s">
        <v>66</v>
      </c>
      <c r="X37">
        <v>1</v>
      </c>
    </row>
    <row r="38" spans="1:24" x14ac:dyDescent="0.3">
      <c r="A38" t="s">
        <v>302</v>
      </c>
      <c r="B38" t="s">
        <v>63</v>
      </c>
      <c r="C38" t="s">
        <v>119</v>
      </c>
      <c r="D38" t="s">
        <v>63</v>
      </c>
      <c r="E38" t="s">
        <v>156</v>
      </c>
      <c r="F38">
        <v>4</v>
      </c>
      <c r="I38" t="s">
        <v>405</v>
      </c>
      <c r="J38" t="s">
        <v>171</v>
      </c>
      <c r="K38" t="s">
        <v>90</v>
      </c>
      <c r="L38" t="s">
        <v>368</v>
      </c>
      <c r="M38" t="s">
        <v>159</v>
      </c>
      <c r="N38">
        <v>1</v>
      </c>
      <c r="Q38" t="s">
        <v>205</v>
      </c>
      <c r="R38" t="s">
        <v>64</v>
      </c>
      <c r="S38" t="s">
        <v>90</v>
      </c>
      <c r="T38" s="6" t="s">
        <v>171</v>
      </c>
      <c r="U38" s="6" t="s">
        <v>63</v>
      </c>
      <c r="V38" t="s">
        <v>206</v>
      </c>
      <c r="W38" t="s">
        <v>66</v>
      </c>
      <c r="X38">
        <v>5</v>
      </c>
    </row>
    <row r="39" spans="1:24" x14ac:dyDescent="0.3">
      <c r="A39" t="s">
        <v>303</v>
      </c>
      <c r="B39" t="s">
        <v>63</v>
      </c>
      <c r="C39" t="s">
        <v>90</v>
      </c>
      <c r="D39" t="s">
        <v>63</v>
      </c>
      <c r="E39" t="s">
        <v>263</v>
      </c>
      <c r="F39">
        <v>3</v>
      </c>
      <c r="I39" t="s">
        <v>406</v>
      </c>
      <c r="J39" t="s">
        <v>171</v>
      </c>
      <c r="K39" t="s">
        <v>171</v>
      </c>
      <c r="L39" t="s">
        <v>368</v>
      </c>
      <c r="M39" t="s">
        <v>285</v>
      </c>
      <c r="N39">
        <v>1</v>
      </c>
      <c r="Q39" t="s">
        <v>207</v>
      </c>
      <c r="R39" t="s">
        <v>171</v>
      </c>
      <c r="S39" t="s">
        <v>122</v>
      </c>
      <c r="T39" s="6" t="s">
        <v>78</v>
      </c>
      <c r="U39" s="6" t="s">
        <v>63</v>
      </c>
      <c r="V39" t="s">
        <v>123</v>
      </c>
      <c r="W39" t="s">
        <v>66</v>
      </c>
      <c r="X39">
        <v>2</v>
      </c>
    </row>
    <row r="40" spans="1:24" x14ac:dyDescent="0.3">
      <c r="A40" t="s">
        <v>304</v>
      </c>
      <c r="B40" t="s">
        <v>166</v>
      </c>
      <c r="C40" t="s">
        <v>108</v>
      </c>
      <c r="D40" t="s">
        <v>63</v>
      </c>
      <c r="E40" t="s">
        <v>261</v>
      </c>
      <c r="F40">
        <v>2</v>
      </c>
      <c r="I40" t="s">
        <v>407</v>
      </c>
      <c r="J40" t="s">
        <v>64</v>
      </c>
      <c r="K40" t="s">
        <v>78</v>
      </c>
      <c r="L40" t="s">
        <v>63</v>
      </c>
      <c r="M40" t="s">
        <v>271</v>
      </c>
      <c r="N40">
        <v>4</v>
      </c>
      <c r="Q40" t="s">
        <v>208</v>
      </c>
      <c r="R40" t="s">
        <v>63</v>
      </c>
      <c r="S40" t="s">
        <v>105</v>
      </c>
      <c r="T40" s="6" t="s">
        <v>75</v>
      </c>
      <c r="U40" s="6" t="s">
        <v>63</v>
      </c>
      <c r="V40" t="s">
        <v>91</v>
      </c>
      <c r="W40" t="s">
        <v>66</v>
      </c>
      <c r="X40">
        <v>4</v>
      </c>
    </row>
    <row r="41" spans="1:24" x14ac:dyDescent="0.3">
      <c r="A41" t="s">
        <v>305</v>
      </c>
      <c r="B41" t="s">
        <v>75</v>
      </c>
      <c r="C41" t="s">
        <v>119</v>
      </c>
      <c r="D41" t="s">
        <v>63</v>
      </c>
      <c r="E41" t="s">
        <v>285</v>
      </c>
      <c r="F41">
        <v>1</v>
      </c>
      <c r="I41" t="s">
        <v>408</v>
      </c>
      <c r="J41" t="s">
        <v>166</v>
      </c>
      <c r="K41" t="s">
        <v>166</v>
      </c>
      <c r="L41" t="s">
        <v>259</v>
      </c>
      <c r="M41" t="s">
        <v>263</v>
      </c>
      <c r="N41">
        <v>1</v>
      </c>
      <c r="Q41" t="s">
        <v>209</v>
      </c>
      <c r="R41" t="s">
        <v>75</v>
      </c>
      <c r="S41" t="s">
        <v>125</v>
      </c>
      <c r="T41" s="6" t="s">
        <v>78</v>
      </c>
      <c r="U41" s="6" t="s">
        <v>63</v>
      </c>
      <c r="V41" t="s">
        <v>120</v>
      </c>
      <c r="W41" t="s">
        <v>66</v>
      </c>
      <c r="X41">
        <v>2</v>
      </c>
    </row>
    <row r="42" spans="1:24" x14ac:dyDescent="0.3">
      <c r="A42" t="s">
        <v>306</v>
      </c>
      <c r="B42" t="s">
        <v>63</v>
      </c>
      <c r="C42" t="s">
        <v>158</v>
      </c>
      <c r="D42" t="s">
        <v>63</v>
      </c>
      <c r="E42" t="s">
        <v>263</v>
      </c>
      <c r="F42">
        <v>2</v>
      </c>
      <c r="I42" t="s">
        <v>409</v>
      </c>
      <c r="J42" t="s">
        <v>75</v>
      </c>
      <c r="K42" t="s">
        <v>119</v>
      </c>
      <c r="L42" t="s">
        <v>63</v>
      </c>
      <c r="M42" t="s">
        <v>184</v>
      </c>
      <c r="N42">
        <v>2</v>
      </c>
      <c r="Q42" t="s">
        <v>210</v>
      </c>
      <c r="R42" t="s">
        <v>90</v>
      </c>
      <c r="S42" t="s">
        <v>119</v>
      </c>
      <c r="T42" s="6" t="s">
        <v>166</v>
      </c>
      <c r="U42" s="6" t="s">
        <v>63</v>
      </c>
      <c r="V42" t="s">
        <v>181</v>
      </c>
      <c r="W42" t="s">
        <v>66</v>
      </c>
      <c r="X42">
        <v>3</v>
      </c>
    </row>
    <row r="43" spans="1:24" x14ac:dyDescent="0.3">
      <c r="A43" t="s">
        <v>307</v>
      </c>
      <c r="B43" t="s">
        <v>63</v>
      </c>
      <c r="C43" t="s">
        <v>171</v>
      </c>
      <c r="D43" t="s">
        <v>63</v>
      </c>
      <c r="E43" t="s">
        <v>282</v>
      </c>
      <c r="F43">
        <v>1</v>
      </c>
      <c r="I43" t="s">
        <v>410</v>
      </c>
      <c r="J43" t="s">
        <v>75</v>
      </c>
      <c r="K43" t="s">
        <v>171</v>
      </c>
      <c r="L43" t="s">
        <v>368</v>
      </c>
      <c r="M43" t="s">
        <v>156</v>
      </c>
      <c r="N43">
        <v>1</v>
      </c>
      <c r="Q43" t="s">
        <v>211</v>
      </c>
      <c r="R43" t="s">
        <v>64</v>
      </c>
      <c r="S43" t="s">
        <v>128</v>
      </c>
      <c r="T43" s="6" t="s">
        <v>78</v>
      </c>
      <c r="U43" s="6" t="s">
        <v>63</v>
      </c>
      <c r="V43" t="s">
        <v>109</v>
      </c>
      <c r="W43" t="s">
        <v>66</v>
      </c>
      <c r="X43">
        <v>2</v>
      </c>
    </row>
    <row r="44" spans="1:24" x14ac:dyDescent="0.3">
      <c r="A44" t="s">
        <v>308</v>
      </c>
      <c r="B44" t="s">
        <v>75</v>
      </c>
      <c r="C44" t="s">
        <v>158</v>
      </c>
      <c r="D44" t="s">
        <v>63</v>
      </c>
      <c r="E44" t="s">
        <v>156</v>
      </c>
      <c r="F44">
        <v>1</v>
      </c>
      <c r="I44" t="s">
        <v>411</v>
      </c>
      <c r="J44" t="s">
        <v>75</v>
      </c>
      <c r="K44" t="s">
        <v>90</v>
      </c>
      <c r="L44" t="s">
        <v>63</v>
      </c>
      <c r="M44" t="s">
        <v>285</v>
      </c>
      <c r="N44">
        <v>1</v>
      </c>
      <c r="Q44" t="s">
        <v>212</v>
      </c>
      <c r="R44" t="s">
        <v>78</v>
      </c>
      <c r="S44" t="s">
        <v>122</v>
      </c>
      <c r="T44" s="6" t="s">
        <v>166</v>
      </c>
      <c r="U44" s="6" t="s">
        <v>63</v>
      </c>
      <c r="V44" t="s">
        <v>94</v>
      </c>
      <c r="W44" t="s">
        <v>66</v>
      </c>
      <c r="X44">
        <v>3</v>
      </c>
    </row>
    <row r="45" spans="1:24" x14ac:dyDescent="0.3">
      <c r="A45" t="s">
        <v>309</v>
      </c>
      <c r="B45" t="s">
        <v>75</v>
      </c>
      <c r="C45" t="s">
        <v>64</v>
      </c>
      <c r="D45" t="s">
        <v>166</v>
      </c>
      <c r="E45" t="s">
        <v>274</v>
      </c>
      <c r="F45">
        <v>2</v>
      </c>
      <c r="I45" t="s">
        <v>412</v>
      </c>
      <c r="J45" t="s">
        <v>64</v>
      </c>
      <c r="K45" t="s">
        <v>64</v>
      </c>
      <c r="L45" t="s">
        <v>368</v>
      </c>
      <c r="M45" t="s">
        <v>280</v>
      </c>
      <c r="N45">
        <v>1</v>
      </c>
      <c r="Q45" t="s">
        <v>213</v>
      </c>
      <c r="R45" t="s">
        <v>90</v>
      </c>
      <c r="S45" t="s">
        <v>214</v>
      </c>
      <c r="T45" s="6" t="s">
        <v>63</v>
      </c>
      <c r="U45" s="6" t="s">
        <v>63</v>
      </c>
      <c r="V45" t="s">
        <v>131</v>
      </c>
      <c r="W45" t="s">
        <v>66</v>
      </c>
      <c r="X45">
        <v>0</v>
      </c>
    </row>
    <row r="46" spans="1:24" x14ac:dyDescent="0.3">
      <c r="A46" t="s">
        <v>310</v>
      </c>
      <c r="B46" t="s">
        <v>75</v>
      </c>
      <c r="C46" t="s">
        <v>78</v>
      </c>
      <c r="D46" t="s">
        <v>166</v>
      </c>
      <c r="E46" t="s">
        <v>271</v>
      </c>
      <c r="F46">
        <v>3</v>
      </c>
      <c r="I46" t="s">
        <v>413</v>
      </c>
      <c r="J46" t="s">
        <v>75</v>
      </c>
      <c r="K46" t="s">
        <v>158</v>
      </c>
      <c r="L46" t="s">
        <v>376</v>
      </c>
      <c r="M46" t="s">
        <v>261</v>
      </c>
      <c r="N46">
        <v>2</v>
      </c>
      <c r="Q46" t="s">
        <v>215</v>
      </c>
      <c r="R46" t="s">
        <v>63</v>
      </c>
      <c r="S46" t="s">
        <v>133</v>
      </c>
      <c r="T46" s="6" t="s">
        <v>166</v>
      </c>
      <c r="U46" s="6" t="s">
        <v>63</v>
      </c>
      <c r="V46" t="s">
        <v>131</v>
      </c>
      <c r="W46" t="s">
        <v>66</v>
      </c>
      <c r="X46">
        <v>3</v>
      </c>
    </row>
    <row r="47" spans="1:24" x14ac:dyDescent="0.3">
      <c r="A47" t="s">
        <v>311</v>
      </c>
      <c r="B47" t="s">
        <v>75</v>
      </c>
      <c r="C47" t="s">
        <v>166</v>
      </c>
      <c r="D47" t="s">
        <v>63</v>
      </c>
      <c r="E47" t="s">
        <v>274</v>
      </c>
      <c r="F47">
        <v>1</v>
      </c>
      <c r="I47" t="s">
        <v>414</v>
      </c>
      <c r="J47" t="s">
        <v>63</v>
      </c>
      <c r="K47" t="s">
        <v>78</v>
      </c>
      <c r="L47" t="s">
        <v>368</v>
      </c>
      <c r="M47" t="s">
        <v>276</v>
      </c>
      <c r="N47">
        <v>1</v>
      </c>
      <c r="Q47" t="s">
        <v>216</v>
      </c>
      <c r="R47" t="s">
        <v>166</v>
      </c>
      <c r="S47" t="s">
        <v>79</v>
      </c>
      <c r="T47" s="6" t="s">
        <v>63</v>
      </c>
      <c r="U47" s="6" t="s">
        <v>63</v>
      </c>
      <c r="V47" t="s">
        <v>80</v>
      </c>
      <c r="W47" t="s">
        <v>66</v>
      </c>
      <c r="X47">
        <v>0</v>
      </c>
    </row>
    <row r="48" spans="1:24" x14ac:dyDescent="0.3">
      <c r="A48" t="s">
        <v>312</v>
      </c>
      <c r="B48" t="s">
        <v>166</v>
      </c>
      <c r="C48" t="s">
        <v>75</v>
      </c>
      <c r="D48" t="s">
        <v>63</v>
      </c>
      <c r="E48" t="s">
        <v>263</v>
      </c>
      <c r="F48">
        <v>1</v>
      </c>
      <c r="I48" t="s">
        <v>415</v>
      </c>
      <c r="J48" t="s">
        <v>75</v>
      </c>
      <c r="K48" t="s">
        <v>171</v>
      </c>
      <c r="L48" t="s">
        <v>368</v>
      </c>
      <c r="M48" t="s">
        <v>285</v>
      </c>
      <c r="N48">
        <v>2</v>
      </c>
      <c r="Q48" t="s">
        <v>217</v>
      </c>
      <c r="R48" t="s">
        <v>64</v>
      </c>
      <c r="S48" t="s">
        <v>218</v>
      </c>
      <c r="T48" s="6" t="s">
        <v>64</v>
      </c>
      <c r="U48" s="6" t="s">
        <v>63</v>
      </c>
      <c r="V48" t="s">
        <v>131</v>
      </c>
      <c r="W48" t="s">
        <v>66</v>
      </c>
      <c r="X48">
        <v>1</v>
      </c>
    </row>
    <row r="49" spans="1:24" x14ac:dyDescent="0.3">
      <c r="A49" t="s">
        <v>313</v>
      </c>
      <c r="B49" t="s">
        <v>64</v>
      </c>
      <c r="C49" t="s">
        <v>90</v>
      </c>
      <c r="D49" t="s">
        <v>63</v>
      </c>
      <c r="E49" t="s">
        <v>156</v>
      </c>
      <c r="F49">
        <v>6</v>
      </c>
      <c r="I49" t="s">
        <v>416</v>
      </c>
      <c r="J49" t="s">
        <v>166</v>
      </c>
      <c r="K49" t="s">
        <v>64</v>
      </c>
      <c r="L49" t="s">
        <v>368</v>
      </c>
      <c r="M49" t="s">
        <v>274</v>
      </c>
      <c r="N49">
        <v>3</v>
      </c>
      <c r="Q49" t="s">
        <v>219</v>
      </c>
      <c r="R49" t="s">
        <v>63</v>
      </c>
      <c r="S49" t="s">
        <v>111</v>
      </c>
      <c r="T49" s="6" t="s">
        <v>78</v>
      </c>
      <c r="U49" s="6" t="s">
        <v>63</v>
      </c>
      <c r="V49" t="s">
        <v>112</v>
      </c>
      <c r="W49" t="s">
        <v>66</v>
      </c>
      <c r="X49">
        <v>2</v>
      </c>
    </row>
    <row r="50" spans="1:24" x14ac:dyDescent="0.3">
      <c r="A50" t="s">
        <v>314</v>
      </c>
      <c r="B50" t="s">
        <v>64</v>
      </c>
      <c r="C50" t="s">
        <v>166</v>
      </c>
      <c r="D50" t="s">
        <v>63</v>
      </c>
      <c r="E50" t="s">
        <v>282</v>
      </c>
      <c r="F50">
        <v>1</v>
      </c>
      <c r="I50" t="s">
        <v>417</v>
      </c>
      <c r="J50" t="s">
        <v>64</v>
      </c>
      <c r="K50" t="s">
        <v>64</v>
      </c>
      <c r="L50" t="s">
        <v>368</v>
      </c>
      <c r="M50" t="s">
        <v>276</v>
      </c>
      <c r="N50">
        <v>2</v>
      </c>
      <c r="Q50" t="s">
        <v>220</v>
      </c>
      <c r="R50" t="s">
        <v>63</v>
      </c>
      <c r="S50" t="s">
        <v>108</v>
      </c>
      <c r="T50" s="6" t="s">
        <v>171</v>
      </c>
      <c r="U50" s="6" t="s">
        <v>63</v>
      </c>
      <c r="V50" t="s">
        <v>91</v>
      </c>
      <c r="W50" t="s">
        <v>66</v>
      </c>
      <c r="X50">
        <v>5</v>
      </c>
    </row>
    <row r="51" spans="1:24" x14ac:dyDescent="0.3">
      <c r="A51" t="s">
        <v>315</v>
      </c>
      <c r="B51" t="s">
        <v>78</v>
      </c>
      <c r="C51" t="s">
        <v>64</v>
      </c>
      <c r="D51" t="s">
        <v>63</v>
      </c>
      <c r="E51" t="s">
        <v>267</v>
      </c>
      <c r="F51">
        <v>1</v>
      </c>
      <c r="I51" t="s">
        <v>418</v>
      </c>
      <c r="J51" t="s">
        <v>78</v>
      </c>
      <c r="K51" t="s">
        <v>78</v>
      </c>
      <c r="L51" t="s">
        <v>259</v>
      </c>
      <c r="M51" t="s">
        <v>274</v>
      </c>
      <c r="N51">
        <v>2</v>
      </c>
      <c r="Q51" t="s">
        <v>221</v>
      </c>
      <c r="R51" t="s">
        <v>155</v>
      </c>
      <c r="S51" t="s">
        <v>128</v>
      </c>
      <c r="T51" s="6" t="s">
        <v>63</v>
      </c>
      <c r="U51" s="6" t="s">
        <v>63</v>
      </c>
      <c r="V51" t="s">
        <v>123</v>
      </c>
      <c r="W51" t="s">
        <v>66</v>
      </c>
      <c r="X51">
        <v>0</v>
      </c>
    </row>
    <row r="52" spans="1:24" x14ac:dyDescent="0.3">
      <c r="A52" t="s">
        <v>316</v>
      </c>
      <c r="B52" t="s">
        <v>64</v>
      </c>
      <c r="C52" t="s">
        <v>64</v>
      </c>
      <c r="D52" t="s">
        <v>63</v>
      </c>
      <c r="E52" t="s">
        <v>68</v>
      </c>
      <c r="F52">
        <v>1</v>
      </c>
      <c r="I52" t="s">
        <v>419</v>
      </c>
      <c r="J52" t="s">
        <v>63</v>
      </c>
      <c r="K52" t="s">
        <v>166</v>
      </c>
      <c r="L52" t="s">
        <v>368</v>
      </c>
      <c r="M52" t="s">
        <v>263</v>
      </c>
      <c r="N52">
        <v>4</v>
      </c>
      <c r="Q52" t="s">
        <v>222</v>
      </c>
      <c r="R52" t="s">
        <v>63</v>
      </c>
      <c r="S52" t="s">
        <v>79</v>
      </c>
      <c r="T52" s="6" t="s">
        <v>78</v>
      </c>
      <c r="U52" s="6" t="s">
        <v>63</v>
      </c>
      <c r="V52" t="s">
        <v>191</v>
      </c>
      <c r="W52" t="s">
        <v>66</v>
      </c>
      <c r="X52">
        <v>2</v>
      </c>
    </row>
    <row r="53" spans="1:24" x14ac:dyDescent="0.3">
      <c r="A53" t="s">
        <v>317</v>
      </c>
      <c r="B53" t="s">
        <v>64</v>
      </c>
      <c r="C53" t="s">
        <v>78</v>
      </c>
      <c r="D53" t="s">
        <v>63</v>
      </c>
      <c r="E53" t="s">
        <v>276</v>
      </c>
      <c r="F53">
        <v>1</v>
      </c>
      <c r="I53" t="s">
        <v>420</v>
      </c>
      <c r="J53" t="s">
        <v>171</v>
      </c>
      <c r="K53" t="s">
        <v>166</v>
      </c>
      <c r="L53" t="s">
        <v>368</v>
      </c>
      <c r="M53" t="s">
        <v>156</v>
      </c>
      <c r="N53">
        <v>2</v>
      </c>
      <c r="P53" t="s">
        <v>486</v>
      </c>
      <c r="Q53" t="s">
        <v>223</v>
      </c>
      <c r="R53" t="s">
        <v>75</v>
      </c>
      <c r="S53" t="s">
        <v>135</v>
      </c>
      <c r="T53" s="6" t="s">
        <v>63</v>
      </c>
      <c r="U53" s="6" t="s">
        <v>63</v>
      </c>
      <c r="V53" t="s">
        <v>99</v>
      </c>
      <c r="W53" t="s">
        <v>66</v>
      </c>
      <c r="X53">
        <v>0</v>
      </c>
    </row>
    <row r="54" spans="1:24" x14ac:dyDescent="0.3">
      <c r="A54" t="s">
        <v>318</v>
      </c>
      <c r="B54" t="s">
        <v>78</v>
      </c>
      <c r="C54" t="s">
        <v>171</v>
      </c>
      <c r="D54" t="s">
        <v>63</v>
      </c>
      <c r="E54" t="s">
        <v>285</v>
      </c>
      <c r="F54">
        <v>7</v>
      </c>
      <c r="I54" t="s">
        <v>421</v>
      </c>
      <c r="J54" t="s">
        <v>171</v>
      </c>
      <c r="K54" t="s">
        <v>78</v>
      </c>
      <c r="L54" t="s">
        <v>368</v>
      </c>
      <c r="M54" t="s">
        <v>263</v>
      </c>
      <c r="N54">
        <v>1</v>
      </c>
      <c r="Q54" t="s">
        <v>71</v>
      </c>
      <c r="R54" t="s">
        <v>63</v>
      </c>
      <c r="S54" t="s">
        <v>90</v>
      </c>
      <c r="T54" s="6" t="s">
        <v>90</v>
      </c>
      <c r="U54" s="6" t="s">
        <v>63</v>
      </c>
      <c r="V54" t="s">
        <v>66</v>
      </c>
      <c r="W54" t="s">
        <v>66</v>
      </c>
      <c r="X54">
        <v>6</v>
      </c>
    </row>
    <row r="55" spans="1:24" x14ac:dyDescent="0.3">
      <c r="A55" t="s">
        <v>319</v>
      </c>
      <c r="B55" t="s">
        <v>75</v>
      </c>
      <c r="C55" t="s">
        <v>158</v>
      </c>
      <c r="D55" t="s">
        <v>63</v>
      </c>
      <c r="E55" t="s">
        <v>159</v>
      </c>
      <c r="F55">
        <v>4</v>
      </c>
      <c r="I55" t="s">
        <v>422</v>
      </c>
      <c r="J55" t="s">
        <v>75</v>
      </c>
      <c r="K55" t="s">
        <v>75</v>
      </c>
      <c r="L55" t="s">
        <v>368</v>
      </c>
      <c r="M55" t="s">
        <v>271</v>
      </c>
      <c r="N55">
        <v>1</v>
      </c>
      <c r="Q55" t="s">
        <v>224</v>
      </c>
      <c r="R55" t="s">
        <v>63</v>
      </c>
      <c r="S55" t="s">
        <v>125</v>
      </c>
      <c r="T55" s="6" t="s">
        <v>75</v>
      </c>
      <c r="U55" s="6" t="s">
        <v>63</v>
      </c>
      <c r="V55" t="s">
        <v>126</v>
      </c>
      <c r="W55" t="s">
        <v>66</v>
      </c>
      <c r="X55">
        <v>4</v>
      </c>
    </row>
    <row r="56" spans="1:24" x14ac:dyDescent="0.3">
      <c r="A56" t="s">
        <v>320</v>
      </c>
      <c r="B56" t="s">
        <v>158</v>
      </c>
      <c r="C56" t="s">
        <v>90</v>
      </c>
      <c r="D56" t="s">
        <v>63</v>
      </c>
      <c r="E56" t="s">
        <v>159</v>
      </c>
      <c r="F56">
        <v>2</v>
      </c>
      <c r="I56" t="s">
        <v>423</v>
      </c>
      <c r="J56" t="s">
        <v>64</v>
      </c>
      <c r="K56" t="s">
        <v>78</v>
      </c>
      <c r="L56" t="s">
        <v>368</v>
      </c>
      <c r="M56" t="s">
        <v>282</v>
      </c>
      <c r="N56">
        <v>1</v>
      </c>
      <c r="Q56" t="s">
        <v>225</v>
      </c>
      <c r="R56" t="s">
        <v>64</v>
      </c>
      <c r="S56" t="s">
        <v>122</v>
      </c>
      <c r="T56" s="6" t="s">
        <v>75</v>
      </c>
      <c r="U56" s="6" t="s">
        <v>63</v>
      </c>
      <c r="V56" t="s">
        <v>94</v>
      </c>
      <c r="W56" t="s">
        <v>66</v>
      </c>
      <c r="X56">
        <v>4</v>
      </c>
    </row>
    <row r="57" spans="1:24" x14ac:dyDescent="0.3">
      <c r="A57" t="s">
        <v>321</v>
      </c>
      <c r="B57" t="s">
        <v>90</v>
      </c>
      <c r="C57" t="s">
        <v>75</v>
      </c>
      <c r="D57" t="s">
        <v>63</v>
      </c>
      <c r="E57" t="s">
        <v>271</v>
      </c>
      <c r="F57">
        <v>2</v>
      </c>
      <c r="I57" t="s">
        <v>424</v>
      </c>
      <c r="J57" t="s">
        <v>171</v>
      </c>
      <c r="K57" t="s">
        <v>78</v>
      </c>
      <c r="L57" t="s">
        <v>368</v>
      </c>
      <c r="M57" t="s">
        <v>156</v>
      </c>
      <c r="N57">
        <v>3</v>
      </c>
      <c r="Q57" t="s">
        <v>226</v>
      </c>
      <c r="R57" t="s">
        <v>64</v>
      </c>
      <c r="S57" t="s">
        <v>116</v>
      </c>
      <c r="T57" s="6" t="s">
        <v>166</v>
      </c>
      <c r="U57" s="6" t="s">
        <v>63</v>
      </c>
      <c r="V57" t="s">
        <v>117</v>
      </c>
      <c r="W57" t="s">
        <v>66</v>
      </c>
      <c r="X57">
        <v>3</v>
      </c>
    </row>
    <row r="58" spans="1:24" x14ac:dyDescent="0.3">
      <c r="A58" t="s">
        <v>322</v>
      </c>
      <c r="B58" t="s">
        <v>171</v>
      </c>
      <c r="C58" t="s">
        <v>90</v>
      </c>
      <c r="D58" t="s">
        <v>63</v>
      </c>
      <c r="E58" t="s">
        <v>159</v>
      </c>
      <c r="F58">
        <v>3</v>
      </c>
      <c r="I58" t="s">
        <v>425</v>
      </c>
      <c r="J58" t="s">
        <v>75</v>
      </c>
      <c r="K58" t="s">
        <v>166</v>
      </c>
      <c r="L58" t="s">
        <v>368</v>
      </c>
      <c r="M58" t="s">
        <v>156</v>
      </c>
      <c r="N58">
        <v>3</v>
      </c>
      <c r="Q58" t="s">
        <v>227</v>
      </c>
      <c r="R58" t="s">
        <v>75</v>
      </c>
      <c r="S58" t="s">
        <v>122</v>
      </c>
      <c r="T58" s="6" t="s">
        <v>64</v>
      </c>
      <c r="U58" s="6" t="s">
        <v>63</v>
      </c>
      <c r="V58" t="s">
        <v>106</v>
      </c>
      <c r="W58" t="s">
        <v>66</v>
      </c>
      <c r="X58">
        <v>1</v>
      </c>
    </row>
    <row r="59" spans="1:24" x14ac:dyDescent="0.3">
      <c r="A59" t="s">
        <v>323</v>
      </c>
      <c r="B59" t="s">
        <v>64</v>
      </c>
      <c r="C59" t="s">
        <v>166</v>
      </c>
      <c r="D59" t="s">
        <v>63</v>
      </c>
      <c r="E59" t="s">
        <v>271</v>
      </c>
      <c r="F59">
        <v>6</v>
      </c>
      <c r="I59" t="s">
        <v>426</v>
      </c>
      <c r="J59" t="s">
        <v>166</v>
      </c>
      <c r="K59" t="s">
        <v>166</v>
      </c>
      <c r="L59" t="s">
        <v>373</v>
      </c>
      <c r="M59" t="s">
        <v>271</v>
      </c>
      <c r="N59">
        <v>2</v>
      </c>
      <c r="Q59" t="s">
        <v>228</v>
      </c>
      <c r="R59" t="s">
        <v>75</v>
      </c>
      <c r="S59" t="s">
        <v>90</v>
      </c>
      <c r="T59" s="6" t="s">
        <v>75</v>
      </c>
      <c r="U59" s="6" t="s">
        <v>63</v>
      </c>
      <c r="V59" t="s">
        <v>161</v>
      </c>
      <c r="W59" t="s">
        <v>66</v>
      </c>
      <c r="X59">
        <v>4</v>
      </c>
    </row>
    <row r="60" spans="1:24" x14ac:dyDescent="0.3">
      <c r="A60" t="s">
        <v>324</v>
      </c>
      <c r="B60" t="s">
        <v>166</v>
      </c>
      <c r="C60" t="s">
        <v>90</v>
      </c>
      <c r="D60" t="s">
        <v>63</v>
      </c>
      <c r="E60" t="s">
        <v>159</v>
      </c>
      <c r="F60">
        <v>6</v>
      </c>
      <c r="I60" t="s">
        <v>427</v>
      </c>
      <c r="J60" t="s">
        <v>64</v>
      </c>
      <c r="K60" t="s">
        <v>75</v>
      </c>
      <c r="L60" t="s">
        <v>259</v>
      </c>
      <c r="M60" t="s">
        <v>263</v>
      </c>
      <c r="N60">
        <v>2</v>
      </c>
      <c r="Q60" t="s">
        <v>229</v>
      </c>
      <c r="R60" t="s">
        <v>78</v>
      </c>
      <c r="S60" t="s">
        <v>105</v>
      </c>
      <c r="T60" s="6" t="s">
        <v>166</v>
      </c>
      <c r="U60" s="6" t="s">
        <v>63</v>
      </c>
      <c r="V60" t="s">
        <v>120</v>
      </c>
      <c r="W60" t="s">
        <v>66</v>
      </c>
      <c r="X60">
        <v>3</v>
      </c>
    </row>
    <row r="61" spans="1:24" x14ac:dyDescent="0.3">
      <c r="A61" t="s">
        <v>325</v>
      </c>
      <c r="B61" t="s">
        <v>78</v>
      </c>
      <c r="C61" t="s">
        <v>155</v>
      </c>
      <c r="D61" t="s">
        <v>63</v>
      </c>
      <c r="E61" t="s">
        <v>285</v>
      </c>
      <c r="F61">
        <v>2</v>
      </c>
      <c r="I61" t="s">
        <v>428</v>
      </c>
      <c r="J61" t="s">
        <v>75</v>
      </c>
      <c r="K61" t="s">
        <v>75</v>
      </c>
      <c r="L61" t="s">
        <v>368</v>
      </c>
      <c r="M61" t="s">
        <v>285</v>
      </c>
      <c r="N61">
        <v>3</v>
      </c>
      <c r="Q61" t="s">
        <v>230</v>
      </c>
      <c r="R61" t="s">
        <v>63</v>
      </c>
      <c r="S61" t="s">
        <v>119</v>
      </c>
      <c r="T61" s="6" t="s">
        <v>171</v>
      </c>
      <c r="U61" s="6" t="s">
        <v>63</v>
      </c>
      <c r="V61" t="s">
        <v>65</v>
      </c>
      <c r="W61" t="s">
        <v>66</v>
      </c>
      <c r="X61">
        <v>5</v>
      </c>
    </row>
    <row r="62" spans="1:24" x14ac:dyDescent="0.3">
      <c r="A62" t="s">
        <v>326</v>
      </c>
      <c r="B62" t="s">
        <v>63</v>
      </c>
      <c r="C62" t="s">
        <v>119</v>
      </c>
      <c r="D62" t="s">
        <v>63</v>
      </c>
      <c r="E62" t="s">
        <v>271</v>
      </c>
      <c r="F62">
        <v>1</v>
      </c>
      <c r="I62" t="s">
        <v>429</v>
      </c>
      <c r="J62" t="s">
        <v>75</v>
      </c>
      <c r="K62" t="s">
        <v>166</v>
      </c>
      <c r="L62" t="s">
        <v>368</v>
      </c>
      <c r="M62" t="s">
        <v>271</v>
      </c>
      <c r="N62">
        <v>2</v>
      </c>
      <c r="Q62" t="s">
        <v>231</v>
      </c>
      <c r="R62" t="s">
        <v>78</v>
      </c>
      <c r="S62" t="s">
        <v>108</v>
      </c>
      <c r="T62" s="6" t="s">
        <v>166</v>
      </c>
      <c r="U62" s="6" t="s">
        <v>63</v>
      </c>
      <c r="V62" t="s">
        <v>232</v>
      </c>
      <c r="W62" t="s">
        <v>66</v>
      </c>
      <c r="X62">
        <v>3</v>
      </c>
    </row>
    <row r="63" spans="1:24" x14ac:dyDescent="0.3">
      <c r="A63" t="s">
        <v>327</v>
      </c>
      <c r="B63" t="s">
        <v>75</v>
      </c>
      <c r="C63" t="s">
        <v>64</v>
      </c>
      <c r="D63" t="s">
        <v>166</v>
      </c>
      <c r="E63" t="s">
        <v>282</v>
      </c>
      <c r="F63">
        <v>1</v>
      </c>
      <c r="I63" t="s">
        <v>430</v>
      </c>
      <c r="J63" t="s">
        <v>166</v>
      </c>
      <c r="K63" t="s">
        <v>166</v>
      </c>
      <c r="L63" t="s">
        <v>368</v>
      </c>
      <c r="M63" t="s">
        <v>285</v>
      </c>
      <c r="N63">
        <v>5</v>
      </c>
      <c r="Q63" t="s">
        <v>233</v>
      </c>
      <c r="R63" t="s">
        <v>171</v>
      </c>
      <c r="S63" t="s">
        <v>75</v>
      </c>
      <c r="T63" s="6" t="s">
        <v>171</v>
      </c>
      <c r="U63" s="6" t="s">
        <v>63</v>
      </c>
      <c r="V63" t="s">
        <v>232</v>
      </c>
      <c r="W63" t="s">
        <v>66</v>
      </c>
      <c r="X63">
        <v>5</v>
      </c>
    </row>
    <row r="64" spans="1:24" x14ac:dyDescent="0.3">
      <c r="A64" t="s">
        <v>328</v>
      </c>
      <c r="B64" t="s">
        <v>75</v>
      </c>
      <c r="C64" t="s">
        <v>78</v>
      </c>
      <c r="D64" t="s">
        <v>166</v>
      </c>
      <c r="E64" t="s">
        <v>263</v>
      </c>
      <c r="F64">
        <v>2</v>
      </c>
      <c r="I64" t="s">
        <v>431</v>
      </c>
      <c r="J64" t="s">
        <v>64</v>
      </c>
      <c r="K64" t="s">
        <v>78</v>
      </c>
      <c r="L64" t="s">
        <v>373</v>
      </c>
      <c r="M64" t="s">
        <v>271</v>
      </c>
      <c r="N64">
        <v>5</v>
      </c>
      <c r="Q64" t="s">
        <v>234</v>
      </c>
      <c r="R64" t="s">
        <v>63</v>
      </c>
      <c r="S64" t="s">
        <v>128</v>
      </c>
      <c r="T64" s="6" t="s">
        <v>166</v>
      </c>
      <c r="U64" s="6" t="s">
        <v>63</v>
      </c>
      <c r="V64" t="s">
        <v>109</v>
      </c>
      <c r="W64" t="s">
        <v>66</v>
      </c>
      <c r="X64">
        <v>3</v>
      </c>
    </row>
    <row r="65" spans="1:24" x14ac:dyDescent="0.3">
      <c r="A65" t="s">
        <v>329</v>
      </c>
      <c r="B65" t="s">
        <v>171</v>
      </c>
      <c r="C65" t="s">
        <v>171</v>
      </c>
      <c r="D65" t="s">
        <v>63</v>
      </c>
      <c r="E65" t="s">
        <v>156</v>
      </c>
      <c r="F65">
        <v>3</v>
      </c>
      <c r="I65" t="s">
        <v>432</v>
      </c>
      <c r="J65" t="s">
        <v>63</v>
      </c>
      <c r="K65" t="s">
        <v>171</v>
      </c>
      <c r="L65" t="s">
        <v>368</v>
      </c>
      <c r="M65" t="s">
        <v>263</v>
      </c>
      <c r="N65">
        <v>2</v>
      </c>
      <c r="Q65" t="s">
        <v>235</v>
      </c>
      <c r="R65" t="s">
        <v>64</v>
      </c>
      <c r="S65" t="s">
        <v>128</v>
      </c>
      <c r="T65" s="6" t="s">
        <v>166</v>
      </c>
      <c r="U65" s="6" t="s">
        <v>63</v>
      </c>
      <c r="V65" t="s">
        <v>129</v>
      </c>
      <c r="W65" t="s">
        <v>66</v>
      </c>
      <c r="X65">
        <v>3</v>
      </c>
    </row>
    <row r="66" spans="1:24" x14ac:dyDescent="0.3">
      <c r="A66" t="s">
        <v>330</v>
      </c>
      <c r="B66" t="s">
        <v>75</v>
      </c>
      <c r="C66" t="s">
        <v>90</v>
      </c>
      <c r="D66" t="s">
        <v>166</v>
      </c>
      <c r="E66" t="s">
        <v>156</v>
      </c>
      <c r="F66">
        <v>2</v>
      </c>
      <c r="I66" t="s">
        <v>433</v>
      </c>
      <c r="J66" t="s">
        <v>78</v>
      </c>
      <c r="K66" t="s">
        <v>171</v>
      </c>
      <c r="L66" t="s">
        <v>368</v>
      </c>
      <c r="M66" t="s">
        <v>156</v>
      </c>
      <c r="N66">
        <v>3</v>
      </c>
      <c r="Q66" t="s">
        <v>236</v>
      </c>
      <c r="R66" t="s">
        <v>78</v>
      </c>
      <c r="S66" t="s">
        <v>214</v>
      </c>
      <c r="T66" s="6" t="s">
        <v>64</v>
      </c>
      <c r="U66" s="6" t="s">
        <v>63</v>
      </c>
      <c r="V66" t="s">
        <v>129</v>
      </c>
      <c r="W66" t="s">
        <v>66</v>
      </c>
      <c r="X66">
        <v>1</v>
      </c>
    </row>
    <row r="67" spans="1:24" x14ac:dyDescent="0.3">
      <c r="A67" t="s">
        <v>331</v>
      </c>
      <c r="B67" t="s">
        <v>78</v>
      </c>
      <c r="C67" t="s">
        <v>171</v>
      </c>
      <c r="D67" t="s">
        <v>63</v>
      </c>
      <c r="E67" t="s">
        <v>271</v>
      </c>
      <c r="F67">
        <v>2</v>
      </c>
      <c r="I67" t="s">
        <v>434</v>
      </c>
      <c r="J67" t="s">
        <v>166</v>
      </c>
      <c r="K67" t="s">
        <v>75</v>
      </c>
      <c r="L67" t="s">
        <v>63</v>
      </c>
      <c r="M67" t="s">
        <v>271</v>
      </c>
      <c r="N67">
        <v>1</v>
      </c>
      <c r="Q67" t="s">
        <v>237</v>
      </c>
      <c r="R67" t="s">
        <v>64</v>
      </c>
      <c r="S67" t="s">
        <v>93</v>
      </c>
      <c r="T67" s="6" t="s">
        <v>78</v>
      </c>
      <c r="U67" s="6" t="s">
        <v>63</v>
      </c>
      <c r="V67" t="s">
        <v>94</v>
      </c>
      <c r="W67" t="s">
        <v>66</v>
      </c>
      <c r="X67">
        <v>2</v>
      </c>
    </row>
    <row r="68" spans="1:24" x14ac:dyDescent="0.3">
      <c r="A68" t="s">
        <v>332</v>
      </c>
      <c r="B68" t="s">
        <v>63</v>
      </c>
      <c r="C68" t="s">
        <v>75</v>
      </c>
      <c r="D68" t="s">
        <v>63</v>
      </c>
      <c r="E68" t="s">
        <v>276</v>
      </c>
      <c r="F68">
        <v>2</v>
      </c>
      <c r="I68" t="s">
        <v>435</v>
      </c>
      <c r="J68" t="s">
        <v>75</v>
      </c>
      <c r="K68" t="s">
        <v>64</v>
      </c>
      <c r="L68" t="s">
        <v>368</v>
      </c>
      <c r="M68" t="s">
        <v>263</v>
      </c>
      <c r="N68">
        <v>3</v>
      </c>
      <c r="Q68" t="s">
        <v>74</v>
      </c>
      <c r="R68" t="s">
        <v>64</v>
      </c>
      <c r="S68" t="s">
        <v>133</v>
      </c>
      <c r="T68" s="6" t="s">
        <v>166</v>
      </c>
      <c r="U68" s="6" t="s">
        <v>63</v>
      </c>
      <c r="V68" t="s">
        <v>112</v>
      </c>
      <c r="W68" t="s">
        <v>66</v>
      </c>
      <c r="X68">
        <v>3</v>
      </c>
    </row>
    <row r="69" spans="1:24" x14ac:dyDescent="0.3">
      <c r="A69" t="s">
        <v>333</v>
      </c>
      <c r="B69" t="s">
        <v>64</v>
      </c>
      <c r="C69" t="s">
        <v>64</v>
      </c>
      <c r="D69" t="s">
        <v>63</v>
      </c>
      <c r="E69" t="s">
        <v>263</v>
      </c>
      <c r="F69">
        <v>7</v>
      </c>
      <c r="I69" t="s">
        <v>436</v>
      </c>
      <c r="J69" t="s">
        <v>75</v>
      </c>
      <c r="K69" t="s">
        <v>166</v>
      </c>
      <c r="L69" t="s">
        <v>368</v>
      </c>
      <c r="M69" t="s">
        <v>285</v>
      </c>
      <c r="N69">
        <v>4</v>
      </c>
      <c r="Q69" t="s">
        <v>77</v>
      </c>
      <c r="R69" t="s">
        <v>64</v>
      </c>
      <c r="S69" t="s">
        <v>125</v>
      </c>
      <c r="T69" s="6" t="s">
        <v>166</v>
      </c>
      <c r="U69" s="6" t="s">
        <v>63</v>
      </c>
      <c r="V69" t="s">
        <v>126</v>
      </c>
      <c r="W69" t="s">
        <v>66</v>
      </c>
      <c r="X69">
        <v>3</v>
      </c>
    </row>
    <row r="70" spans="1:24" x14ac:dyDescent="0.3">
      <c r="A70" t="s">
        <v>334</v>
      </c>
      <c r="B70" t="s">
        <v>166</v>
      </c>
      <c r="C70" t="s">
        <v>90</v>
      </c>
      <c r="D70" t="s">
        <v>63</v>
      </c>
      <c r="E70" t="s">
        <v>156</v>
      </c>
      <c r="F70">
        <v>4</v>
      </c>
      <c r="I70" t="s">
        <v>437</v>
      </c>
      <c r="J70" t="s">
        <v>78</v>
      </c>
      <c r="K70" t="s">
        <v>75</v>
      </c>
      <c r="L70" t="s">
        <v>376</v>
      </c>
      <c r="M70" t="s">
        <v>271</v>
      </c>
      <c r="N70">
        <v>2</v>
      </c>
      <c r="Q70" t="s">
        <v>81</v>
      </c>
      <c r="R70" t="s">
        <v>63</v>
      </c>
      <c r="S70" t="s">
        <v>238</v>
      </c>
      <c r="T70" s="6" t="s">
        <v>78</v>
      </c>
      <c r="U70" s="6" t="s">
        <v>63</v>
      </c>
      <c r="V70" t="s">
        <v>129</v>
      </c>
      <c r="W70" t="s">
        <v>66</v>
      </c>
      <c r="X70">
        <v>2</v>
      </c>
    </row>
    <row r="71" spans="1:24" x14ac:dyDescent="0.3">
      <c r="A71" t="s">
        <v>335</v>
      </c>
      <c r="B71" t="s">
        <v>75</v>
      </c>
      <c r="C71" t="s">
        <v>166</v>
      </c>
      <c r="D71" t="s">
        <v>166</v>
      </c>
      <c r="E71" t="s">
        <v>263</v>
      </c>
      <c r="F71">
        <v>1</v>
      </c>
      <c r="I71" t="s">
        <v>438</v>
      </c>
      <c r="J71" t="s">
        <v>166</v>
      </c>
      <c r="K71" t="s">
        <v>78</v>
      </c>
      <c r="L71" t="s">
        <v>368</v>
      </c>
      <c r="M71" t="s">
        <v>263</v>
      </c>
      <c r="N71">
        <v>2</v>
      </c>
      <c r="Q71" t="s">
        <v>84</v>
      </c>
      <c r="R71" t="s">
        <v>64</v>
      </c>
      <c r="S71" t="s">
        <v>96</v>
      </c>
      <c r="T71" s="6" t="s">
        <v>64</v>
      </c>
      <c r="U71" s="6" t="s">
        <v>63</v>
      </c>
      <c r="V71" t="s">
        <v>80</v>
      </c>
      <c r="W71" t="s">
        <v>66</v>
      </c>
      <c r="X71">
        <v>1</v>
      </c>
    </row>
    <row r="72" spans="1:24" x14ac:dyDescent="0.3">
      <c r="A72" t="s">
        <v>336</v>
      </c>
      <c r="B72" t="s">
        <v>75</v>
      </c>
      <c r="C72" t="s">
        <v>78</v>
      </c>
      <c r="D72" t="s">
        <v>166</v>
      </c>
      <c r="E72" t="s">
        <v>274</v>
      </c>
      <c r="F72">
        <v>1</v>
      </c>
      <c r="I72" t="s">
        <v>439</v>
      </c>
      <c r="J72" t="s">
        <v>166</v>
      </c>
      <c r="K72" t="s">
        <v>90</v>
      </c>
      <c r="L72" t="s">
        <v>368</v>
      </c>
      <c r="M72" t="s">
        <v>156</v>
      </c>
      <c r="N72">
        <v>1</v>
      </c>
      <c r="Q72" t="s">
        <v>86</v>
      </c>
      <c r="R72" t="s">
        <v>63</v>
      </c>
      <c r="S72" t="s">
        <v>93</v>
      </c>
      <c r="T72" s="6" t="s">
        <v>166</v>
      </c>
      <c r="U72" s="6" t="s">
        <v>63</v>
      </c>
      <c r="V72" t="s">
        <v>94</v>
      </c>
      <c r="W72" t="s">
        <v>66</v>
      </c>
      <c r="X72">
        <v>3</v>
      </c>
    </row>
    <row r="73" spans="1:24" x14ac:dyDescent="0.3">
      <c r="A73" t="s">
        <v>337</v>
      </c>
      <c r="B73" t="s">
        <v>78</v>
      </c>
      <c r="C73" t="s">
        <v>75</v>
      </c>
      <c r="D73" t="s">
        <v>63</v>
      </c>
      <c r="E73" t="s">
        <v>263</v>
      </c>
      <c r="F73">
        <v>2</v>
      </c>
      <c r="I73" t="s">
        <v>440</v>
      </c>
      <c r="J73" t="s">
        <v>64</v>
      </c>
      <c r="K73" t="s">
        <v>166</v>
      </c>
      <c r="L73" t="s">
        <v>259</v>
      </c>
      <c r="M73" t="s">
        <v>274</v>
      </c>
      <c r="N73">
        <v>2</v>
      </c>
      <c r="Q73" t="s">
        <v>89</v>
      </c>
      <c r="R73" t="s">
        <v>90</v>
      </c>
      <c r="S73" t="s">
        <v>122</v>
      </c>
      <c r="T73" s="6" t="s">
        <v>64</v>
      </c>
      <c r="U73" s="6" t="s">
        <v>63</v>
      </c>
      <c r="V73" t="s">
        <v>123</v>
      </c>
      <c r="W73" t="s">
        <v>66</v>
      </c>
      <c r="X73">
        <v>1</v>
      </c>
    </row>
    <row r="74" spans="1:24" x14ac:dyDescent="0.3">
      <c r="A74" t="s">
        <v>338</v>
      </c>
      <c r="B74" t="s">
        <v>63</v>
      </c>
      <c r="C74" t="s">
        <v>78</v>
      </c>
      <c r="D74" t="s">
        <v>63</v>
      </c>
      <c r="E74" t="s">
        <v>267</v>
      </c>
      <c r="F74">
        <v>2</v>
      </c>
      <c r="I74" t="s">
        <v>441</v>
      </c>
      <c r="J74" t="s">
        <v>78</v>
      </c>
      <c r="K74" t="s">
        <v>166</v>
      </c>
      <c r="L74" t="s">
        <v>373</v>
      </c>
      <c r="M74" t="s">
        <v>156</v>
      </c>
      <c r="N74">
        <v>4</v>
      </c>
      <c r="Q74" t="s">
        <v>92</v>
      </c>
      <c r="R74" t="s">
        <v>171</v>
      </c>
      <c r="S74" t="s">
        <v>196</v>
      </c>
      <c r="T74" s="6" t="s">
        <v>64</v>
      </c>
      <c r="U74" s="6" t="s">
        <v>63</v>
      </c>
      <c r="V74" t="s">
        <v>117</v>
      </c>
      <c r="W74" t="s">
        <v>66</v>
      </c>
      <c r="X74">
        <v>1</v>
      </c>
    </row>
    <row r="75" spans="1:24" x14ac:dyDescent="0.3">
      <c r="A75" t="s">
        <v>339</v>
      </c>
      <c r="B75" t="s">
        <v>166</v>
      </c>
      <c r="C75" t="s">
        <v>119</v>
      </c>
      <c r="D75" t="s">
        <v>63</v>
      </c>
      <c r="E75" t="s">
        <v>285</v>
      </c>
      <c r="F75">
        <v>2</v>
      </c>
      <c r="I75" t="s">
        <v>442</v>
      </c>
      <c r="J75" t="s">
        <v>63</v>
      </c>
      <c r="K75" t="s">
        <v>166</v>
      </c>
      <c r="L75" t="s">
        <v>259</v>
      </c>
      <c r="M75" t="s">
        <v>274</v>
      </c>
      <c r="N75">
        <v>3</v>
      </c>
      <c r="Q75" t="s">
        <v>95</v>
      </c>
      <c r="R75" t="s">
        <v>64</v>
      </c>
      <c r="S75" t="s">
        <v>135</v>
      </c>
      <c r="T75" s="6" t="s">
        <v>78</v>
      </c>
      <c r="U75" s="6" t="s">
        <v>63</v>
      </c>
      <c r="V75" t="s">
        <v>99</v>
      </c>
      <c r="W75" t="s">
        <v>66</v>
      </c>
      <c r="X75">
        <v>2</v>
      </c>
    </row>
    <row r="76" spans="1:24" x14ac:dyDescent="0.3">
      <c r="A76" t="s">
        <v>340</v>
      </c>
      <c r="B76" t="s">
        <v>64</v>
      </c>
      <c r="C76" t="s">
        <v>171</v>
      </c>
      <c r="D76" t="s">
        <v>63</v>
      </c>
      <c r="E76" t="s">
        <v>274</v>
      </c>
      <c r="F76">
        <v>2</v>
      </c>
      <c r="I76" t="s">
        <v>443</v>
      </c>
      <c r="J76" t="s">
        <v>64</v>
      </c>
      <c r="K76" t="s">
        <v>75</v>
      </c>
      <c r="L76" t="s">
        <v>376</v>
      </c>
      <c r="M76" t="s">
        <v>156</v>
      </c>
      <c r="N76">
        <v>4</v>
      </c>
      <c r="Q76" t="s">
        <v>97</v>
      </c>
      <c r="R76" t="s">
        <v>64</v>
      </c>
      <c r="S76" t="s">
        <v>214</v>
      </c>
      <c r="T76" s="6" t="s">
        <v>78</v>
      </c>
      <c r="U76" s="6" t="s">
        <v>63</v>
      </c>
      <c r="V76" t="s">
        <v>129</v>
      </c>
      <c r="W76" t="s">
        <v>66</v>
      </c>
      <c r="X76">
        <v>2</v>
      </c>
    </row>
    <row r="77" spans="1:24" x14ac:dyDescent="0.3">
      <c r="A77" t="s">
        <v>341</v>
      </c>
      <c r="B77" t="s">
        <v>171</v>
      </c>
      <c r="C77" t="s">
        <v>90</v>
      </c>
      <c r="D77" t="s">
        <v>63</v>
      </c>
      <c r="E77" t="s">
        <v>285</v>
      </c>
      <c r="F77">
        <v>2</v>
      </c>
      <c r="I77" t="s">
        <v>444</v>
      </c>
      <c r="J77" t="s">
        <v>63</v>
      </c>
      <c r="K77" t="s">
        <v>78</v>
      </c>
      <c r="L77" t="s">
        <v>368</v>
      </c>
      <c r="M77" t="s">
        <v>282</v>
      </c>
      <c r="N77">
        <v>2</v>
      </c>
      <c r="Q77" t="s">
        <v>100</v>
      </c>
      <c r="R77" t="s">
        <v>155</v>
      </c>
      <c r="S77" t="s">
        <v>90</v>
      </c>
      <c r="T77" s="6" t="s">
        <v>166</v>
      </c>
      <c r="U77" s="6" t="s">
        <v>63</v>
      </c>
      <c r="V77" t="s">
        <v>174</v>
      </c>
      <c r="W77" t="s">
        <v>66</v>
      </c>
      <c r="X77">
        <v>3</v>
      </c>
    </row>
    <row r="78" spans="1:24" x14ac:dyDescent="0.3">
      <c r="A78" t="s">
        <v>342</v>
      </c>
      <c r="B78" t="s">
        <v>166</v>
      </c>
      <c r="C78" t="s">
        <v>119</v>
      </c>
      <c r="D78" t="s">
        <v>166</v>
      </c>
      <c r="E78" t="s">
        <v>159</v>
      </c>
      <c r="F78">
        <v>1</v>
      </c>
      <c r="I78" t="s">
        <v>445</v>
      </c>
      <c r="J78" t="s">
        <v>75</v>
      </c>
      <c r="K78" t="s">
        <v>171</v>
      </c>
      <c r="L78" t="s">
        <v>368</v>
      </c>
      <c r="M78" t="s">
        <v>159</v>
      </c>
      <c r="N78">
        <v>3</v>
      </c>
      <c r="Q78" t="s">
        <v>102</v>
      </c>
      <c r="R78" t="s">
        <v>119</v>
      </c>
      <c r="S78" t="s">
        <v>105</v>
      </c>
      <c r="T78" s="6" t="s">
        <v>78</v>
      </c>
      <c r="U78" s="6" t="s">
        <v>63</v>
      </c>
      <c r="V78" t="s">
        <v>109</v>
      </c>
      <c r="W78" t="s">
        <v>66</v>
      </c>
      <c r="X78">
        <v>2</v>
      </c>
    </row>
    <row r="79" spans="1:24" x14ac:dyDescent="0.3">
      <c r="A79" t="s">
        <v>343</v>
      </c>
      <c r="B79" t="s">
        <v>171</v>
      </c>
      <c r="C79" t="s">
        <v>75</v>
      </c>
      <c r="D79" t="s">
        <v>63</v>
      </c>
      <c r="E79" t="s">
        <v>156</v>
      </c>
      <c r="F79">
        <v>4</v>
      </c>
      <c r="I79" t="s">
        <v>446</v>
      </c>
      <c r="J79" t="s">
        <v>78</v>
      </c>
      <c r="K79" t="s">
        <v>64</v>
      </c>
      <c r="L79" t="s">
        <v>368</v>
      </c>
      <c r="M79" t="s">
        <v>274</v>
      </c>
      <c r="N79">
        <v>4</v>
      </c>
      <c r="Q79" t="s">
        <v>104</v>
      </c>
      <c r="R79" t="s">
        <v>108</v>
      </c>
      <c r="S79" t="s">
        <v>119</v>
      </c>
      <c r="T79" s="6" t="s">
        <v>78</v>
      </c>
      <c r="U79" s="6" t="s">
        <v>63</v>
      </c>
      <c r="V79" t="s">
        <v>91</v>
      </c>
      <c r="W79" t="s">
        <v>66</v>
      </c>
      <c r="X79">
        <v>2</v>
      </c>
    </row>
    <row r="80" spans="1:24" x14ac:dyDescent="0.3">
      <c r="A80" t="s">
        <v>344</v>
      </c>
      <c r="B80" t="s">
        <v>75</v>
      </c>
      <c r="C80" t="s">
        <v>90</v>
      </c>
      <c r="D80" t="s">
        <v>63</v>
      </c>
      <c r="E80" t="s">
        <v>285</v>
      </c>
      <c r="F80">
        <v>3</v>
      </c>
      <c r="I80" t="s">
        <v>447</v>
      </c>
      <c r="J80" t="s">
        <v>166</v>
      </c>
      <c r="K80" t="s">
        <v>166</v>
      </c>
      <c r="L80" t="s">
        <v>368</v>
      </c>
      <c r="M80" t="s">
        <v>156</v>
      </c>
      <c r="N80">
        <v>4</v>
      </c>
      <c r="Q80" t="s">
        <v>107</v>
      </c>
      <c r="R80" t="s">
        <v>166</v>
      </c>
      <c r="S80" t="s">
        <v>125</v>
      </c>
      <c r="T80" s="6" t="s">
        <v>78</v>
      </c>
      <c r="U80" s="6" t="s">
        <v>63</v>
      </c>
      <c r="V80" t="s">
        <v>91</v>
      </c>
      <c r="W80" t="s">
        <v>66</v>
      </c>
      <c r="X80">
        <v>2</v>
      </c>
    </row>
    <row r="81" spans="1:24" x14ac:dyDescent="0.3">
      <c r="A81" t="s">
        <v>345</v>
      </c>
      <c r="B81" t="s">
        <v>63</v>
      </c>
      <c r="C81" t="s">
        <v>78</v>
      </c>
      <c r="D81" t="s">
        <v>63</v>
      </c>
      <c r="E81" t="s">
        <v>276</v>
      </c>
      <c r="F81">
        <v>4</v>
      </c>
      <c r="I81" t="s">
        <v>448</v>
      </c>
      <c r="J81" t="s">
        <v>78</v>
      </c>
      <c r="K81" t="s">
        <v>64</v>
      </c>
      <c r="L81" t="s">
        <v>368</v>
      </c>
      <c r="M81" t="s">
        <v>282</v>
      </c>
      <c r="N81">
        <v>2</v>
      </c>
      <c r="Q81" t="s">
        <v>110</v>
      </c>
      <c r="R81" t="s">
        <v>171</v>
      </c>
      <c r="S81" t="s">
        <v>119</v>
      </c>
      <c r="T81" s="6" t="s">
        <v>166</v>
      </c>
      <c r="U81" s="6" t="s">
        <v>63</v>
      </c>
      <c r="V81" t="s">
        <v>200</v>
      </c>
      <c r="W81" t="s">
        <v>66</v>
      </c>
      <c r="X81">
        <v>3</v>
      </c>
    </row>
    <row r="82" spans="1:24" x14ac:dyDescent="0.3">
      <c r="A82" t="s">
        <v>346</v>
      </c>
      <c r="B82" t="s">
        <v>64</v>
      </c>
      <c r="C82" t="s">
        <v>64</v>
      </c>
      <c r="D82" t="s">
        <v>63</v>
      </c>
      <c r="E82" t="s">
        <v>276</v>
      </c>
      <c r="F82">
        <v>4</v>
      </c>
      <c r="I82" t="s">
        <v>449</v>
      </c>
      <c r="J82" t="s">
        <v>64</v>
      </c>
      <c r="K82" t="s">
        <v>78</v>
      </c>
      <c r="L82" t="s">
        <v>368</v>
      </c>
      <c r="M82" t="s">
        <v>263</v>
      </c>
      <c r="N82">
        <v>3</v>
      </c>
      <c r="Q82" t="s">
        <v>113</v>
      </c>
      <c r="R82" t="s">
        <v>90</v>
      </c>
      <c r="S82" t="s">
        <v>119</v>
      </c>
      <c r="T82" s="6" t="s">
        <v>75</v>
      </c>
      <c r="U82" s="6" t="s">
        <v>63</v>
      </c>
      <c r="V82" t="s">
        <v>91</v>
      </c>
      <c r="W82" t="s">
        <v>66</v>
      </c>
      <c r="X82">
        <v>4</v>
      </c>
    </row>
    <row r="83" spans="1:24" x14ac:dyDescent="0.3">
      <c r="A83" t="s">
        <v>347</v>
      </c>
      <c r="B83" t="s">
        <v>78</v>
      </c>
      <c r="C83" t="s">
        <v>166</v>
      </c>
      <c r="D83" t="s">
        <v>63</v>
      </c>
      <c r="E83" t="s">
        <v>271</v>
      </c>
      <c r="F83">
        <v>5</v>
      </c>
      <c r="I83" t="s">
        <v>450</v>
      </c>
      <c r="J83" t="s">
        <v>78</v>
      </c>
      <c r="K83" t="s">
        <v>75</v>
      </c>
      <c r="L83" t="s">
        <v>259</v>
      </c>
      <c r="M83" t="s">
        <v>263</v>
      </c>
      <c r="N83">
        <v>1</v>
      </c>
      <c r="Q83" t="s">
        <v>115</v>
      </c>
      <c r="R83" t="s">
        <v>64</v>
      </c>
      <c r="S83" t="s">
        <v>119</v>
      </c>
      <c r="T83" s="6" t="s">
        <v>75</v>
      </c>
      <c r="U83" s="6" t="s">
        <v>63</v>
      </c>
      <c r="V83" t="s">
        <v>232</v>
      </c>
      <c r="W83" t="s">
        <v>66</v>
      </c>
      <c r="X83">
        <v>4</v>
      </c>
    </row>
    <row r="84" spans="1:24" x14ac:dyDescent="0.3">
      <c r="A84" t="s">
        <v>348</v>
      </c>
      <c r="B84" t="s">
        <v>75</v>
      </c>
      <c r="C84" t="s">
        <v>75</v>
      </c>
      <c r="D84" t="s">
        <v>166</v>
      </c>
      <c r="E84" t="s">
        <v>271</v>
      </c>
      <c r="F84">
        <v>1</v>
      </c>
      <c r="I84" t="s">
        <v>451</v>
      </c>
      <c r="J84" t="s">
        <v>63</v>
      </c>
      <c r="K84" t="s">
        <v>75</v>
      </c>
      <c r="L84" t="s">
        <v>368</v>
      </c>
      <c r="M84" t="s">
        <v>263</v>
      </c>
      <c r="N84">
        <v>3</v>
      </c>
      <c r="Q84" t="s">
        <v>118</v>
      </c>
      <c r="R84" t="s">
        <v>78</v>
      </c>
      <c r="S84" t="s">
        <v>128</v>
      </c>
      <c r="T84" s="6" t="s">
        <v>78</v>
      </c>
      <c r="U84" s="6" t="s">
        <v>63</v>
      </c>
      <c r="V84" t="s">
        <v>129</v>
      </c>
      <c r="W84" t="s">
        <v>66</v>
      </c>
      <c r="X84">
        <v>2</v>
      </c>
    </row>
    <row r="85" spans="1:24" x14ac:dyDescent="0.3">
      <c r="A85" t="s">
        <v>349</v>
      </c>
      <c r="B85" t="s">
        <v>63</v>
      </c>
      <c r="C85" t="s">
        <v>166</v>
      </c>
      <c r="D85" t="s">
        <v>166</v>
      </c>
      <c r="E85" t="s">
        <v>280</v>
      </c>
      <c r="F85">
        <v>1</v>
      </c>
      <c r="I85" t="s">
        <v>452</v>
      </c>
      <c r="J85" t="s">
        <v>64</v>
      </c>
      <c r="K85" t="s">
        <v>166</v>
      </c>
      <c r="L85" t="s">
        <v>368</v>
      </c>
      <c r="M85" t="s">
        <v>263</v>
      </c>
      <c r="N85">
        <v>2</v>
      </c>
      <c r="Q85" t="s">
        <v>121</v>
      </c>
      <c r="R85" t="s">
        <v>90</v>
      </c>
      <c r="S85" t="s">
        <v>108</v>
      </c>
      <c r="T85" s="6" t="s">
        <v>166</v>
      </c>
      <c r="U85" s="6" t="s">
        <v>63</v>
      </c>
      <c r="V85" t="s">
        <v>120</v>
      </c>
      <c r="W85" t="s">
        <v>66</v>
      </c>
      <c r="X85">
        <v>3</v>
      </c>
    </row>
    <row r="86" spans="1:24" x14ac:dyDescent="0.3">
      <c r="A86" t="s">
        <v>350</v>
      </c>
      <c r="B86" t="s">
        <v>64</v>
      </c>
      <c r="C86" t="s">
        <v>90</v>
      </c>
      <c r="D86" t="s">
        <v>63</v>
      </c>
      <c r="E86" t="s">
        <v>263</v>
      </c>
      <c r="F86">
        <v>2</v>
      </c>
      <c r="I86" t="s">
        <v>453</v>
      </c>
      <c r="J86" t="s">
        <v>63</v>
      </c>
      <c r="K86" t="s">
        <v>75</v>
      </c>
      <c r="L86" t="s">
        <v>259</v>
      </c>
      <c r="M86" t="s">
        <v>274</v>
      </c>
      <c r="N86">
        <v>2</v>
      </c>
      <c r="Q86" t="s">
        <v>124</v>
      </c>
      <c r="R86" t="s">
        <v>64</v>
      </c>
      <c r="S86" t="s">
        <v>105</v>
      </c>
      <c r="T86" s="6" t="s">
        <v>75</v>
      </c>
      <c r="U86" s="6" t="s">
        <v>63</v>
      </c>
      <c r="V86" t="s">
        <v>106</v>
      </c>
      <c r="W86" t="s">
        <v>66</v>
      </c>
      <c r="X86">
        <v>4</v>
      </c>
    </row>
    <row r="87" spans="1:24" x14ac:dyDescent="0.3">
      <c r="A87" t="s">
        <v>351</v>
      </c>
      <c r="B87" t="s">
        <v>78</v>
      </c>
      <c r="C87" t="s">
        <v>64</v>
      </c>
      <c r="D87" t="s">
        <v>63</v>
      </c>
      <c r="E87" t="s">
        <v>282</v>
      </c>
      <c r="F87">
        <v>4</v>
      </c>
      <c r="I87" t="s">
        <v>454</v>
      </c>
      <c r="J87" t="s">
        <v>64</v>
      </c>
      <c r="K87" t="s">
        <v>78</v>
      </c>
      <c r="L87" t="s">
        <v>368</v>
      </c>
      <c r="M87" t="s">
        <v>274</v>
      </c>
      <c r="N87">
        <v>2</v>
      </c>
      <c r="Q87" t="s">
        <v>127</v>
      </c>
      <c r="R87" t="s">
        <v>78</v>
      </c>
      <c r="S87" t="s">
        <v>133</v>
      </c>
      <c r="T87" s="6" t="s">
        <v>78</v>
      </c>
      <c r="U87" s="6" t="s">
        <v>63</v>
      </c>
      <c r="V87" t="s">
        <v>112</v>
      </c>
      <c r="W87" t="s">
        <v>66</v>
      </c>
      <c r="X87">
        <v>2</v>
      </c>
    </row>
    <row r="88" spans="1:24" x14ac:dyDescent="0.3">
      <c r="A88" t="s">
        <v>352</v>
      </c>
      <c r="B88" t="s">
        <v>166</v>
      </c>
      <c r="C88" t="s">
        <v>158</v>
      </c>
      <c r="D88" t="s">
        <v>166</v>
      </c>
      <c r="E88" t="s">
        <v>285</v>
      </c>
      <c r="F88">
        <v>1</v>
      </c>
      <c r="I88" t="s">
        <v>455</v>
      </c>
      <c r="J88" t="s">
        <v>166</v>
      </c>
      <c r="K88" t="s">
        <v>64</v>
      </c>
      <c r="L88" t="s">
        <v>376</v>
      </c>
      <c r="M88" t="s">
        <v>263</v>
      </c>
      <c r="N88">
        <v>5</v>
      </c>
      <c r="Q88" t="s">
        <v>130</v>
      </c>
      <c r="R88" t="s">
        <v>64</v>
      </c>
      <c r="S88" t="s">
        <v>108</v>
      </c>
      <c r="T88" s="6" t="s">
        <v>75</v>
      </c>
      <c r="U88" s="6" t="s">
        <v>63</v>
      </c>
      <c r="V88" t="s">
        <v>91</v>
      </c>
      <c r="W88" t="s">
        <v>66</v>
      </c>
      <c r="X88">
        <v>4</v>
      </c>
    </row>
    <row r="89" spans="1:24" x14ac:dyDescent="0.3">
      <c r="A89" t="s">
        <v>353</v>
      </c>
      <c r="B89" t="s">
        <v>75</v>
      </c>
      <c r="C89" t="s">
        <v>90</v>
      </c>
      <c r="D89" t="s">
        <v>63</v>
      </c>
      <c r="E89" t="s">
        <v>159</v>
      </c>
      <c r="F89">
        <v>5</v>
      </c>
      <c r="I89" t="s">
        <v>456</v>
      </c>
      <c r="J89" t="s">
        <v>166</v>
      </c>
      <c r="K89" t="s">
        <v>171</v>
      </c>
      <c r="L89" t="s">
        <v>368</v>
      </c>
      <c r="M89" t="s">
        <v>156</v>
      </c>
      <c r="N89">
        <v>2</v>
      </c>
      <c r="Q89" t="s">
        <v>132</v>
      </c>
      <c r="R89" t="s">
        <v>78</v>
      </c>
      <c r="S89" t="s">
        <v>79</v>
      </c>
      <c r="T89" s="6" t="s">
        <v>64</v>
      </c>
      <c r="U89" s="6" t="s">
        <v>63</v>
      </c>
      <c r="V89" t="s">
        <v>80</v>
      </c>
      <c r="W89" t="s">
        <v>66</v>
      </c>
      <c r="X89">
        <v>1</v>
      </c>
    </row>
    <row r="90" spans="1:24" x14ac:dyDescent="0.3">
      <c r="A90" t="s">
        <v>354</v>
      </c>
      <c r="B90" t="s">
        <v>75</v>
      </c>
      <c r="C90" t="s">
        <v>171</v>
      </c>
      <c r="D90" t="s">
        <v>63</v>
      </c>
      <c r="E90" t="s">
        <v>156</v>
      </c>
      <c r="F90">
        <v>4</v>
      </c>
      <c r="I90" t="s">
        <v>457</v>
      </c>
      <c r="J90" t="s">
        <v>78</v>
      </c>
      <c r="K90" t="s">
        <v>90</v>
      </c>
      <c r="L90" t="s">
        <v>368</v>
      </c>
      <c r="M90" t="s">
        <v>156</v>
      </c>
      <c r="N90">
        <v>2</v>
      </c>
      <c r="Q90" t="s">
        <v>134</v>
      </c>
      <c r="R90" t="s">
        <v>64</v>
      </c>
      <c r="S90" t="s">
        <v>105</v>
      </c>
      <c r="T90" s="6" t="s">
        <v>166</v>
      </c>
      <c r="U90" s="6" t="s">
        <v>63</v>
      </c>
      <c r="V90" t="s">
        <v>91</v>
      </c>
      <c r="W90" t="s">
        <v>66</v>
      </c>
      <c r="X90">
        <v>3</v>
      </c>
    </row>
    <row r="91" spans="1:24" x14ac:dyDescent="0.3">
      <c r="A91" t="s">
        <v>355</v>
      </c>
      <c r="B91" t="s">
        <v>63</v>
      </c>
      <c r="C91" t="s">
        <v>78</v>
      </c>
      <c r="D91" t="s">
        <v>63</v>
      </c>
      <c r="E91" t="s">
        <v>280</v>
      </c>
      <c r="F91">
        <v>3</v>
      </c>
      <c r="I91" t="s">
        <v>458</v>
      </c>
      <c r="J91" t="s">
        <v>78</v>
      </c>
      <c r="K91" t="s">
        <v>158</v>
      </c>
      <c r="L91" t="s">
        <v>376</v>
      </c>
      <c r="M91" t="s">
        <v>285</v>
      </c>
      <c r="N91">
        <v>2</v>
      </c>
      <c r="Q91" t="s">
        <v>136</v>
      </c>
      <c r="R91" t="s">
        <v>78</v>
      </c>
      <c r="S91" t="s">
        <v>93</v>
      </c>
      <c r="T91" s="6" t="s">
        <v>78</v>
      </c>
      <c r="U91" s="6" t="s">
        <v>63</v>
      </c>
      <c r="V91" t="s">
        <v>131</v>
      </c>
      <c r="W91" t="s">
        <v>66</v>
      </c>
      <c r="X91">
        <v>2</v>
      </c>
    </row>
    <row r="92" spans="1:24" x14ac:dyDescent="0.3">
      <c r="A92" t="s">
        <v>356</v>
      </c>
      <c r="B92" t="s">
        <v>78</v>
      </c>
      <c r="C92" t="s">
        <v>64</v>
      </c>
      <c r="D92" t="s">
        <v>63</v>
      </c>
      <c r="E92" t="s">
        <v>274</v>
      </c>
      <c r="F92">
        <v>5</v>
      </c>
      <c r="I92" t="s">
        <v>459</v>
      </c>
      <c r="J92" t="s">
        <v>166</v>
      </c>
      <c r="K92" t="s">
        <v>75</v>
      </c>
      <c r="L92" t="s">
        <v>368</v>
      </c>
      <c r="M92" t="s">
        <v>285</v>
      </c>
      <c r="N92">
        <v>4</v>
      </c>
      <c r="Q92" t="s">
        <v>137</v>
      </c>
      <c r="R92" t="s">
        <v>64</v>
      </c>
      <c r="S92" t="s">
        <v>119</v>
      </c>
      <c r="T92" s="6" t="s">
        <v>171</v>
      </c>
      <c r="U92" s="6" t="s">
        <v>63</v>
      </c>
      <c r="V92" t="s">
        <v>174</v>
      </c>
      <c r="W92" t="s">
        <v>66</v>
      </c>
      <c r="X92">
        <v>5</v>
      </c>
    </row>
    <row r="93" spans="1:24" x14ac:dyDescent="0.3">
      <c r="A93" t="s">
        <v>357</v>
      </c>
      <c r="B93" t="s">
        <v>64</v>
      </c>
      <c r="C93" t="s">
        <v>155</v>
      </c>
      <c r="D93" t="s">
        <v>63</v>
      </c>
      <c r="E93" t="s">
        <v>285</v>
      </c>
      <c r="F93">
        <v>3</v>
      </c>
      <c r="I93" t="s">
        <v>460</v>
      </c>
      <c r="J93" t="s">
        <v>166</v>
      </c>
      <c r="K93" t="s">
        <v>158</v>
      </c>
      <c r="L93" t="s">
        <v>368</v>
      </c>
      <c r="M93" t="s">
        <v>285</v>
      </c>
      <c r="N93">
        <v>1</v>
      </c>
      <c r="Q93" t="s">
        <v>239</v>
      </c>
      <c r="R93" t="s">
        <v>78</v>
      </c>
      <c r="S93" t="s">
        <v>116</v>
      </c>
      <c r="T93" s="6" t="s">
        <v>78</v>
      </c>
      <c r="U93" s="6" t="s">
        <v>63</v>
      </c>
      <c r="V93" t="s">
        <v>117</v>
      </c>
      <c r="W93" t="s">
        <v>66</v>
      </c>
      <c r="X93">
        <v>2</v>
      </c>
    </row>
    <row r="94" spans="1:24" x14ac:dyDescent="0.3">
      <c r="A94" t="s">
        <v>358</v>
      </c>
      <c r="B94" t="s">
        <v>78</v>
      </c>
      <c r="C94" t="s">
        <v>78</v>
      </c>
      <c r="D94" t="s">
        <v>166</v>
      </c>
      <c r="E94" t="s">
        <v>274</v>
      </c>
      <c r="F94">
        <v>3</v>
      </c>
      <c r="I94" t="s">
        <v>461</v>
      </c>
      <c r="J94" t="s">
        <v>78</v>
      </c>
      <c r="K94" t="s">
        <v>90</v>
      </c>
      <c r="L94" t="s">
        <v>373</v>
      </c>
      <c r="M94" t="s">
        <v>285</v>
      </c>
      <c r="N94">
        <v>3</v>
      </c>
      <c r="Q94" t="s">
        <v>240</v>
      </c>
      <c r="R94" t="s">
        <v>78</v>
      </c>
      <c r="S94" t="s">
        <v>135</v>
      </c>
      <c r="T94" s="6" t="s">
        <v>64</v>
      </c>
      <c r="U94" s="6" t="s">
        <v>63</v>
      </c>
      <c r="V94" t="s">
        <v>99</v>
      </c>
      <c r="W94" t="s">
        <v>66</v>
      </c>
      <c r="X94">
        <v>1</v>
      </c>
    </row>
    <row r="95" spans="1:24" x14ac:dyDescent="0.3">
      <c r="A95" t="s">
        <v>359</v>
      </c>
      <c r="B95" t="s">
        <v>166</v>
      </c>
      <c r="C95" t="s">
        <v>171</v>
      </c>
      <c r="D95" t="s">
        <v>63</v>
      </c>
      <c r="E95" t="s">
        <v>285</v>
      </c>
      <c r="F95">
        <v>6</v>
      </c>
      <c r="I95" t="s">
        <v>462</v>
      </c>
      <c r="J95" t="s">
        <v>64</v>
      </c>
      <c r="K95" t="s">
        <v>90</v>
      </c>
      <c r="L95" t="s">
        <v>368</v>
      </c>
      <c r="M95" t="s">
        <v>156</v>
      </c>
      <c r="N95">
        <v>3</v>
      </c>
      <c r="T95" s="6"/>
      <c r="U95" s="6"/>
    </row>
    <row r="96" spans="1:24" x14ac:dyDescent="0.3">
      <c r="A96" t="s">
        <v>360</v>
      </c>
      <c r="B96" t="s">
        <v>64</v>
      </c>
      <c r="C96" t="s">
        <v>64</v>
      </c>
      <c r="D96" t="s">
        <v>63</v>
      </c>
      <c r="E96" t="s">
        <v>267</v>
      </c>
      <c r="F96">
        <v>2</v>
      </c>
      <c r="I96" t="s">
        <v>463</v>
      </c>
      <c r="J96" t="s">
        <v>64</v>
      </c>
      <c r="K96" t="s">
        <v>64</v>
      </c>
      <c r="L96" t="s">
        <v>376</v>
      </c>
      <c r="M96" t="s">
        <v>274</v>
      </c>
      <c r="N96">
        <v>4</v>
      </c>
      <c r="T96" s="6"/>
      <c r="U96" s="6"/>
    </row>
    <row r="97" spans="1:24" x14ac:dyDescent="0.3">
      <c r="A97" t="s">
        <v>361</v>
      </c>
      <c r="B97" t="s">
        <v>63</v>
      </c>
      <c r="C97" t="s">
        <v>90</v>
      </c>
      <c r="D97" t="s">
        <v>63</v>
      </c>
      <c r="E97" t="s">
        <v>274</v>
      </c>
      <c r="F97">
        <v>1</v>
      </c>
    </row>
    <row r="98" spans="1:24" x14ac:dyDescent="0.3">
      <c r="A98" t="s">
        <v>362</v>
      </c>
      <c r="B98" t="s">
        <v>63</v>
      </c>
      <c r="C98" t="s">
        <v>166</v>
      </c>
      <c r="D98" t="s">
        <v>63</v>
      </c>
      <c r="E98" t="s">
        <v>267</v>
      </c>
      <c r="F98">
        <v>1</v>
      </c>
    </row>
    <row r="99" spans="1:24" x14ac:dyDescent="0.3">
      <c r="A99" t="s">
        <v>363</v>
      </c>
      <c r="B99" t="s">
        <v>78</v>
      </c>
      <c r="C99" t="s">
        <v>78</v>
      </c>
      <c r="D99" t="s">
        <v>166</v>
      </c>
      <c r="E99" t="s">
        <v>282</v>
      </c>
      <c r="F99">
        <v>2</v>
      </c>
    </row>
    <row r="100" spans="1:24" x14ac:dyDescent="0.3">
      <c r="A100" t="s">
        <v>364</v>
      </c>
      <c r="B100" t="s">
        <v>64</v>
      </c>
      <c r="C100" t="s">
        <v>64</v>
      </c>
      <c r="D100" t="s">
        <v>63</v>
      </c>
      <c r="E100" t="s">
        <v>282</v>
      </c>
      <c r="F100">
        <v>5</v>
      </c>
    </row>
    <row r="101" spans="1:24" x14ac:dyDescent="0.3">
      <c r="A101" t="s">
        <v>365</v>
      </c>
      <c r="B101" t="s">
        <v>64</v>
      </c>
      <c r="C101" t="s">
        <v>166</v>
      </c>
      <c r="D101" t="s">
        <v>63</v>
      </c>
      <c r="E101" t="s">
        <v>263</v>
      </c>
      <c r="F101">
        <v>5</v>
      </c>
    </row>
    <row r="102" spans="1:24" x14ac:dyDescent="0.3">
      <c r="A102" t="s">
        <v>366</v>
      </c>
      <c r="B102" t="s">
        <v>78</v>
      </c>
      <c r="C102" t="s">
        <v>90</v>
      </c>
      <c r="D102" t="s">
        <v>63</v>
      </c>
      <c r="E102" t="s">
        <v>156</v>
      </c>
      <c r="F102">
        <v>5</v>
      </c>
    </row>
    <row r="104" spans="1:24" x14ac:dyDescent="0.3">
      <c r="A104" s="7" t="s">
        <v>474</v>
      </c>
      <c r="B104" s="7"/>
      <c r="C104" s="7"/>
      <c r="D104" s="7"/>
      <c r="E104" s="7"/>
      <c r="F104" s="7">
        <v>100</v>
      </c>
      <c r="G104" s="7"/>
      <c r="H104" s="7"/>
      <c r="I104" s="7"/>
      <c r="J104" s="7"/>
      <c r="K104" s="7"/>
      <c r="L104" s="7"/>
      <c r="M104" s="7"/>
      <c r="N104" s="7">
        <v>94</v>
      </c>
      <c r="O104" s="7"/>
      <c r="P104" s="7"/>
      <c r="Q104" s="7"/>
      <c r="R104" s="7"/>
      <c r="S104" s="7"/>
      <c r="T104" s="7"/>
      <c r="U104" s="7"/>
      <c r="V104" s="7"/>
      <c r="W104" s="7"/>
      <c r="X104" s="7">
        <v>92</v>
      </c>
    </row>
    <row r="106" spans="1:24" x14ac:dyDescent="0.3">
      <c r="C106" t="str">
        <f t="shared" ref="C106:E106" si="0">_xlfn.TEXTBEFORE(C3,",")</f>
        <v>2</v>
      </c>
      <c r="D106" t="str">
        <f t="shared" si="0"/>
        <v>0</v>
      </c>
      <c r="E106" t="str">
        <f t="shared" si="0"/>
        <v>-7</v>
      </c>
    </row>
  </sheetData>
  <phoneticPr fontId="6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937350-EF19-43A3-85B5-21732723AF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soc_min_eval</vt:lpstr>
      <vt:lpstr>soc_max_eval</vt:lpstr>
      <vt:lpstr>cra_eval</vt:lpstr>
      <vt:lpstr>eval</vt:lpstr>
      <vt:lpstr>variation_metrics</vt:lpstr>
      <vt:lpstr>pareto_cra</vt:lpstr>
      <vt:lpstr>result_population_numbers</vt:lpstr>
      <vt:lpstr>result_population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Tömöri Péter</dc:creator>
  <cp:lastModifiedBy>Tömöri Péter András</cp:lastModifiedBy>
  <dcterms:created xsi:type="dcterms:W3CDTF">2015-06-05T18:19:34Z</dcterms:created>
  <dcterms:modified xsi:type="dcterms:W3CDTF">2025-11-02T15:38:27Z</dcterms:modified>
</cp:coreProperties>
</file>